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Mapa de Captação" sheetId="2" state="visible" r:id="rId4"/>
    <sheet name="Descartados" sheetId="3" state="visible" r:id="rId5"/>
    <sheet name="Fon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<sst xmlns="http://schemas.openxmlformats.org/spreadsheetml/2006/main" count="212" uniqueCount="186">
  <si>
    <t xml:space="preserve">GLAUBER — MAPA DE CAPTAÇÃO (CAPITAL SEMENTE)</t>
  </si>
  <si>
    <t xml:space="preserve">Levantamento em 15/07/2026 · reforça o plano do Orçamento Pré-Anjo (gap R$47.388/6 meses, meta rodada anjo R$50-500k no mês 6)</t>
  </si>
  <si>
    <t xml:space="preserve">🔵 Editável/atualizar manualmente conforme prazos mudam. Cores da coluna Status: verde = aberto agora · amarelo = fechado, monitorar próximo ciclo · cinza = contínuo, sem calendário fixo · vermelho = descartado (não se aplica à Glauber)</t>
  </si>
  <si>
    <t xml:space="preserve">LEGENDA:</t>
  </si>
  <si>
    <t xml:space="preserve">Aberto agora</t>
  </si>
  <si>
    <t xml:space="preserve">Fechado — monitorar próximo ciclo</t>
  </si>
  <si>
    <t xml:space="preserve">Contínuo / sem calendário fixo</t>
  </si>
  <si>
    <t xml:space="preserve">Descartado — não se aplica</t>
  </si>
  <si>
    <t xml:space="preserve">SEQUÊNCIA RECOMENDADA (dado caixa apertado — runway ~1 mês)</t>
  </si>
  <si>
    <t xml:space="preserve">#</t>
  </si>
  <si>
    <t xml:space="preserve">Ação</t>
  </si>
  <si>
    <t xml:space="preserve">Por quê</t>
  </si>
  <si>
    <t xml:space="preserve">1</t>
  </si>
  <si>
    <t xml:space="preserve">Abrir CNPJ LTDA (JUCEPE) o quanto antes</t>
  </si>
  <si>
    <t xml:space="preserve">Pré-requisito para quase todas as vias — inclusive equity crowdfunding e investidor-anjo institucional. Já é a Meta do Mês 1 no orçamento.</t>
  </si>
  <si>
    <t xml:space="preserve">2</t>
  </si>
  <si>
    <t xml:space="preserve">Contato direto com Porto Digital sobre Pré-Aceleração</t>
  </si>
  <si>
    <t xml:space="preserve">Não há chamada pública nova aberta; a via é conversar com o coordenador do programa, já que a Glauber concluiu a Pré-Incubação em 05/07/2026.</t>
  </si>
  <si>
    <t xml:space="preserve">3</t>
  </si>
  <si>
    <t xml:space="preserve">Iniciar due diligence em plataforma de equity crowdfunding (EqSeed/Kria/CapTable)</t>
  </si>
  <si>
    <t xml:space="preserve">Processo leva semanas — começar em paralelo à prospecção de investidor-anjo, não depois.</t>
  </si>
  <si>
    <t xml:space="preserve">4</t>
  </si>
  <si>
    <t xml:space="preserve">Prospecção de investidor-anjo (Anjos do Brasil, Gávea Angels)</t>
  </si>
  <si>
    <t xml:space="preserve">Alimenta a meta de rodada R$50-500k do Mês 6 do orçamento.</t>
  </si>
  <si>
    <t xml:space="preserve">5</t>
  </si>
  <si>
    <t xml:space="preserve">Monitorar reabertura de Centelha PE (4ª ed.) e BNDES Garagem (próximo ciclo)</t>
  </si>
  <si>
    <t xml:space="preserve">Reforço não-dilutivo — sem data divulgada ainda, checar mensalmente.</t>
  </si>
  <si>
    <t xml:space="preserve">RESUMO — MAPA DE CAPTAÇÃO</t>
  </si>
  <si>
    <t xml:space="preserve">Total de fontes mapeadas</t>
  </si>
  <si>
    <t xml:space="preserve">Abertas agora</t>
  </si>
  <si>
    <t xml:space="preserve">Fechadas — monitorar próximo ciclo</t>
  </si>
  <si>
    <t xml:space="preserve">Contínuas (sem calendário fixo)</t>
  </si>
  <si>
    <t xml:space="preserve">MAPA DE FONTES DE CAPTAÇÃO — GLAUBER (atualizado 15/07/2026)</t>
  </si>
  <si>
    <t xml:space="preserve">Fonte / Programa</t>
  </si>
  <si>
    <t xml:space="preserve">Tipo</t>
  </si>
  <si>
    <t xml:space="preserve">Categoria</t>
  </si>
  <si>
    <t xml:space="preserve">Valor / Ticket</t>
  </si>
  <si>
    <t xml:space="preserve">Exige CNPJ?</t>
  </si>
  <si>
    <t xml:space="preserve">Status (15/07/2026)</t>
  </si>
  <si>
    <t xml:space="preserve">Última janela de inscrição</t>
  </si>
  <si>
    <t xml:space="preserve">Previsão próxima janela</t>
  </si>
  <si>
    <t xml:space="preserve">Prioridade p/ Glauber</t>
  </si>
  <si>
    <t xml:space="preserve">Próxima ação recomendada</t>
  </si>
  <si>
    <t xml:space="preserve">Link</t>
  </si>
  <si>
    <t xml:space="preserve">Notas / requisitos-chave</t>
  </si>
  <si>
    <t xml:space="preserve">Centelha PE (FACEPE) — 3ª edição</t>
  </si>
  <si>
    <t xml:space="preserve">Não-dilutivo</t>
  </si>
  <si>
    <t xml:space="preserve">Subvenção + bolsa CNPq</t>
  </si>
  <si>
    <t xml:space="preserve">Até R$86,6 mil (subvenção) + R$50 mil (bolsa CNPq)</t>
  </si>
  <si>
    <t xml:space="preserve">Aceita CNPJ com menos de 12 meses (ou pessoa física)</t>
  </si>
  <si>
    <t xml:space="preserve">Fechado — monitorar</t>
  </si>
  <si>
    <t xml:space="preserve">Inscrição fechou 20/01/2026 (prorrogada). Resultado da 2ª fase: 29/05/2026.</t>
  </si>
  <si>
    <t xml:space="preserve">4ª edição sem data divulgada — historicamente ~1x/ano</t>
  </si>
  <si>
    <t xml:space="preserve">Alta (assim que reabrir)</t>
  </si>
  <si>
    <t xml:space="preserve">Assinar alerta no site do Centelha; reinscrever assim que a 4ª edição abrir e o CNPJ estiver aberto</t>
  </si>
  <si>
    <t xml:space="preserve">https://programacentelha.com.br/pe/</t>
  </si>
  <si>
    <t xml:space="preserve">Edital nº 32/2025-FACEPE. Foco em startups em estágio inicial — bom encaixe de estágio.</t>
  </si>
  <si>
    <t xml:space="preserve">FACEPE — Compet Soluções</t>
  </si>
  <si>
    <t xml:space="preserve">Subvenção (parceria)</t>
  </si>
  <si>
    <t xml:space="preserve">Faixa A: até R$200 mil (8 projetos) · Faixa B: até R$80 mil (8 projetos)</t>
  </si>
  <si>
    <t xml:space="preserve">Sim, exige parceria formal com empresa/cooperativa/associação</t>
  </si>
  <si>
    <t xml:space="preserve">Prazo prorrogado até 12/02/2026. Resultado preliminar a partir de 05/03/2026.</t>
  </si>
  <si>
    <t xml:space="preserve">Sem data — checar editais FACEPE periodicamente</t>
  </si>
  <si>
    <t xml:space="preserve">Média (depende de achar empresa parceira)</t>
  </si>
  <si>
    <t xml:space="preserve">Mapear possível empresa/produtora parceira para próxima edição</t>
  </si>
  <si>
    <t xml:space="preserve">https://www.facepe.br/</t>
  </si>
  <si>
    <t xml:space="preserve">Edital nº 42/2025-FACEPE. Exige parceria — maior barreira de entrada que Centelha.</t>
  </si>
  <si>
    <t xml:space="preserve">FACEPE — Compet Mulheres</t>
  </si>
  <si>
    <t xml:space="preserve">Subvenção (tração)</t>
  </si>
  <si>
    <t xml:space="preserve">Até R$200 mil (até 5 propostas, total R$1 milhão)</t>
  </si>
  <si>
    <t xml:space="preserve">Sim — startup em estágio avançado de maturidade</t>
  </si>
  <si>
    <t xml:space="preserve">Inscrições 05/03 a 04/05/2026 (Edital nº 08/2026)</t>
  </si>
  <si>
    <t xml:space="preserve">Sem data — checar se há próxima edição</t>
  </si>
  <si>
    <t xml:space="preserve">Baixa/Média — só se aplica se houver sócia fundadora à frente</t>
  </si>
  <si>
    <t xml:space="preserve">Confirmar enquadramento societário e monitorar reedição</t>
  </si>
  <si>
    <t xml:space="preserve">Foco em tração/crescimento comercial — estágio mais avançado do que a Glauber está agora.</t>
  </si>
  <si>
    <t xml:space="preserve">FACEPE — Global.PE Espanha</t>
  </si>
  <si>
    <t xml:space="preserve">Internacionalização</t>
  </si>
  <si>
    <t xml:space="preserve">Até R$27 mil (10 startups selecionadas)</t>
  </si>
  <si>
    <t xml:space="preserve">Sim, micro ou pequena empresa já constituída</t>
  </si>
  <si>
    <t xml:space="preserve">Inscrições 06/07 a 27/07/2026 (Edital nº 22/2026). Resultado preliminar: 07/08/2026.</t>
  </si>
  <si>
    <t xml:space="preserve">—</t>
  </si>
  <si>
    <t xml:space="preserve">Baixa — ticket pequeno e fora do momento (internacionalização, não infra/equipe)</t>
  </si>
  <si>
    <t xml:space="preserve">Não priorizar agora; reavaliar em edições futuras pós-tração</t>
  </si>
  <si>
    <t xml:space="preserve">https://www.facepe.br/wp-content/uploads/2026/07/2026.07.02-Global-PE-Espanha-1.pdf</t>
  </si>
  <si>
    <t xml:space="preserve">Exige CNPJ já aberto — a Glauber ainda não teria como concorrer a tempo.</t>
  </si>
  <si>
    <t xml:space="preserve">BNDES Garagem — Módulo Criação</t>
  </si>
  <si>
    <t xml:space="preserve">Prêmio/doação (sem equity)</t>
  </si>
  <si>
    <t xml:space="preserve">R$20 mil a R$160 mil (doação, sem contrapartida societária)</t>
  </si>
  <si>
    <t xml:space="preserve">Não exige CNPJ para o Módulo Criação</t>
  </si>
  <si>
    <t xml:space="preserve">Ciclo 2/2025: inscrições 11/08/2025 a 14/09/2025</t>
  </si>
  <si>
    <t xml:space="preserve">Próximo ciclo sem data divulgada — acompanhar site</t>
  </si>
  <si>
    <t xml:space="preserve">Alta (assim que reabrir — não exige CNPJ nem dilui)</t>
  </si>
  <si>
    <t xml:space="preserve">Assinar newsletter/alertas do BNDES Garagem; preparar enquadramento como 'negócio de impacto' (Enimpacto)</t>
  </si>
  <si>
    <t xml:space="preserve">https://garagem.bndes.gov.br/criacao/</t>
  </si>
  <si>
    <t xml:space="preserve">Precisa se enquadrar como negócio de impacto (Decreto 11.646/2023) — reforçar no pitch o acesso democratizado a gestão de produção para produtoras pequenas/independentes.</t>
  </si>
  <si>
    <t xml:space="preserve">Porto Digital / SECTI-PE — Pré-Aceleração</t>
  </si>
  <si>
    <t xml:space="preserve">Institucional</t>
  </si>
  <si>
    <t xml:space="preserve">Aceleração (não-financeira direta)</t>
  </si>
  <si>
    <t xml:space="preserve">Sem aporte direto — acesso a infraestrutura, mentoria e Demoday/Rodada de Negócios (Rec'n'Play)</t>
  </si>
  <si>
    <t xml:space="preserve">Não informado como obrigatório nesta fase</t>
  </si>
  <si>
    <t xml:space="preserve">Contínuo</t>
  </si>
  <si>
    <t xml:space="preserve">Chamada mais recente: inscrições até 20/03/2026 (já cursada — Glauber concluiu Pré-Incubação em 05/07/2026)</t>
  </si>
  <si>
    <t xml:space="preserve">Sem nova chamada pública encontrada — via de acesso é a transição direta dentro do programa</t>
  </si>
  <si>
    <t xml:space="preserve">Alta — ação imediata</t>
  </si>
  <si>
    <t xml:space="preserve">Falar diretamente com o coordenador do programa sobre transição para a Pré-Aceleração (10 vagas, MVP funcional — Glauber já se qualifica)</t>
  </si>
  <si>
    <t xml:space="preserve">https://www.portodigital.org/empreendedorismo</t>
  </si>
  <si>
    <t xml:space="preserve">Próxima fase natural após a Pré-Incubação já concluída pela Glauber.</t>
  </si>
  <si>
    <t xml:space="preserve">Equity Crowdfunding (EqSeed / Kria / CapTable)</t>
  </si>
  <si>
    <t xml:space="preserve">Dilutivo</t>
  </si>
  <si>
    <t xml:space="preserve">Equity crowdfunding (CVM 88)</t>
  </si>
  <si>
    <t xml:space="preserve">Captação de até R$15 milhões (empresas com receita até R$40 milhões/ano)</t>
  </si>
  <si>
    <t xml:space="preserve">Sim, necessário</t>
  </si>
  <si>
    <t xml:space="preserve">Sem calendário de edital — plataforma privada, contínua</t>
  </si>
  <si>
    <t xml:space="preserve">Alta — reforço à rodada anjo do Mês 6</t>
  </si>
  <si>
    <t xml:space="preserve">Abrir CNPJ, montar data room (já previsto no Mês 5 do orçamento) e iniciar cadastro/triagem em uma das plataformas</t>
  </si>
  <si>
    <t xml:space="preserve">https://eqseed.com/</t>
  </si>
  <si>
    <t xml:space="preserve">Processo de estruturação leva algumas semanas — bom para rodar em paralelo à prospecção de anjo, não depois dela.</t>
  </si>
  <si>
    <t xml:space="preserve">Anjos do Brasil</t>
  </si>
  <si>
    <t xml:space="preserve">Investidor-anjo (rede)</t>
  </si>
  <si>
    <t xml:space="preserve">Tickets a partir de ~R$20 mil por investidor (agregados)</t>
  </si>
  <si>
    <t xml:space="preserve">Recomendado ter CNPJ para formalizar aporte</t>
  </si>
  <si>
    <t xml:space="preserve">Sem calendário — submissão contínua pela plataforma</t>
  </si>
  <si>
    <t xml:space="preserve">Alta — via principal da meta de rodada R$50-500k (Mês 6)</t>
  </si>
  <si>
    <t xml:space="preserve">Submeter projeto pela plataforma oficial; não há núcleo PE/Recife dedicado identificado publicamente — o sistema roteia para investidores relevantes</t>
  </si>
  <si>
    <t xml:space="preserve">https://anjosdobrasil.net/</t>
  </si>
  <si>
    <t xml:space="preserve">Rede nacional com núcleos regionais em +20 estados.</t>
  </si>
  <si>
    <t xml:space="preserve">Gávea Angels</t>
  </si>
  <si>
    <t xml:space="preserve">Tickets historicamente maiores que a média do mercado</t>
  </si>
  <si>
    <t xml:space="preserve">Recomendado ter CNPJ</t>
  </si>
  <si>
    <t xml:space="preserve">Sem calendário — submissão contínua pelo site</t>
  </si>
  <si>
    <t xml:space="preserve">Baixa/Média agora — mais forte em SP/RJ, retomar após tração inicial</t>
  </si>
  <si>
    <t xml:space="preserve">Manter no radar; priorizar Anjos do Brasil e equity crowdfunding primeiro</t>
  </si>
  <si>
    <t xml:space="preserve">https://gaveaangels.org/</t>
  </si>
  <si>
    <t xml:space="preserve">Foco histórico em SP/RJ — fit geográfico/estágio menor no momento atual da Glauber.</t>
  </si>
  <si>
    <t xml:space="preserve">AVALIADOS E DESCARTADOS (para não reavaliar à toa)</t>
  </si>
  <si>
    <t xml:space="preserve">Fonte / Edital</t>
  </si>
  <si>
    <t xml:space="preserve">Por que não se aplica</t>
  </si>
  <si>
    <t xml:space="preserve">Quando poderia voltar a fazer sentido</t>
  </si>
  <si>
    <t xml:space="preserve">FIP Conexões Startups (BNDESPAR + FINEP)</t>
  </si>
  <si>
    <t xml:space="preserve">É uma chamada para selecionar a GESTORA de um fundo de R$250 milhões (FIP), não para startups captarem diretamente. O proponente precisa ter autorização CVM como gestor de recursos, credenciamento e comprometer ≥1% de um fundo com no mínimo R$160 milhões — perfil incompatível com a Glauber.</t>
  </si>
  <si>
    <t xml:space="preserve">Daqui 12-24 meses, como possível 'Sociedade-Alvo' (investida) de portfólio da gestora que vencer o processo (resultado até 23/11/2026) — mas a candidatura seria direto à gestora vencedora, não a este edital.</t>
  </si>
  <si>
    <t xml:space="preserve">Ancine/FSA — Núcleos Criativos 2026</t>
  </si>
  <si>
    <t xml:space="preserve">Financia produtoras de CONTEÚDO audiovisual (roteiro, ficção, documentário, animação), não empresas de tecnologia/SaaS. Mesmo a Glauber sendo do setor audiovisual, o produto dela é uma plataforma de gestão, não uma obra audiovisual.</t>
  </si>
  <si>
    <t xml:space="preserve">Não se aplica ao modelo de negócio da Glauber. Vale, no máximo, para clientes/produtoras que a Glauber atende, não para a própria empresa.</t>
  </si>
  <si>
    <t xml:space="preserve">https://fsa.ancine.gov.br/</t>
  </si>
  <si>
    <t xml:space="preserve">FONTES CONSULTADAS (pesquisa web em 15/07/2026)</t>
  </si>
  <si>
    <t xml:space="preserve">Título</t>
  </si>
  <si>
    <t xml:space="preserve">Usado para</t>
  </si>
  <si>
    <t xml:space="preserve">Programa Centelha Pernambuco</t>
  </si>
  <si>
    <t xml:space="preserve">Centelha PE — datas e valores</t>
  </si>
  <si>
    <t xml:space="preserve">Facepe prorroga inscrições — Centelha 3ª edição</t>
  </si>
  <si>
    <t xml:space="preserve">https://www.facepe.br/pernambuco-abre-inscricoes-para-o-programa-centelha-3-com-foco-em-startups-e-ideias-inovadoras/</t>
  </si>
  <si>
    <t xml:space="preserve">Centelha PE — confirmação de prazos</t>
  </si>
  <si>
    <t xml:space="preserve">Compet Soluções — FACEPE</t>
  </si>
  <si>
    <t xml:space="preserve">https://www.facepe.br/compet-solucoes-governo-lanca-nova-edicao-de-r-224-milhoes-para-apoiar-empresas-em-projetos-inovadores/</t>
  </si>
  <si>
    <t xml:space="preserve">Compet Soluções — valores e prazos</t>
  </si>
  <si>
    <t xml:space="preserve">Compet Mulheres — FACEPE</t>
  </si>
  <si>
    <t xml:space="preserve">https://www.facepe.br/governo-de-pernambuco-lanca-edital-compet-mulheres-para-impulsionar-startups-lideradas-por-mulheres/</t>
  </si>
  <si>
    <t xml:space="preserve">Compet Mulheres — valores e prazos</t>
  </si>
  <si>
    <t xml:space="preserve">Edital 22/2026 Global.PE Espanha</t>
  </si>
  <si>
    <t xml:space="preserve">Global.PE — edital oficial</t>
  </si>
  <si>
    <t xml:space="preserve">BNDES Garagem — Criação</t>
  </si>
  <si>
    <t xml:space="preserve">BNDES Garagem — regras do módulo Criação</t>
  </si>
  <si>
    <t xml:space="preserve">Edital BNDES Garagem Ciclo 2 2025</t>
  </si>
  <si>
    <t xml:space="preserve">https://garagem.bndes.gov.br/wp-content/uploads/2025/08/Edital-Negocios-de-Impacto-2025-CRIACAO-Ciclo-2-_-BNDES-Garagem.pdf</t>
  </si>
  <si>
    <t xml:space="preserve">BNDES Garagem — edital oficial</t>
  </si>
  <si>
    <t xml:space="preserve">Porto Digital abre inscrições Pré-Incubação</t>
  </si>
  <si>
    <t xml:space="preserve">https://startupi.com.br/porto-digital-inscricoes-pre-incubacao-negocios/</t>
  </si>
  <si>
    <t xml:space="preserve">Porto Digital — estrutura do programa</t>
  </si>
  <si>
    <t xml:space="preserve">Porto Digital lança editais de incubação e internacionalização</t>
  </si>
  <si>
    <t xml:space="preserve">https://movimentoeconomico.com.br/tecnologia/2026/02/10/porto-digital-lanca-editais-de-incubacao-e-internacionalizacao-de-negocios/</t>
  </si>
  <si>
    <t xml:space="preserve">Porto Digital — Pré-Aceleração e Internacionalização</t>
  </si>
  <si>
    <t xml:space="preserve">Núcleos Criativos 2026 — Edital FSA/Ancine</t>
  </si>
  <si>
    <t xml:space="preserve">https://www.audiovisualworld.com.br/eventos/n%C3%BAcleos-criativos-2026-edital-fsa-de-desenvolvimento</t>
  </si>
  <si>
    <t xml:space="preserve">FSA/Ancine — motivo do descarte</t>
  </si>
  <si>
    <t xml:space="preserve">Anjos do Brasil — Núcleos Regionais</t>
  </si>
  <si>
    <t xml:space="preserve">https://anjosdobrasil.net/conheca-a-rede-da-anjos/</t>
  </si>
  <si>
    <t xml:space="preserve">Anjos do Brasil — estrutura de rede</t>
  </si>
  <si>
    <t xml:space="preserve">Equity Crowdfunding e Resolução CVM 88 — NDM Advogados</t>
  </si>
  <si>
    <t xml:space="preserve">https://ndmadvogados.com.br/artigo/equity-crowdfunding-resolucao-cvm-88/</t>
  </si>
  <si>
    <t xml:space="preserve">Equity crowdfunding — regras CVM 88</t>
  </si>
  <si>
    <t xml:space="preserve">EqSeed</t>
  </si>
  <si>
    <t xml:space="preserve">Equity crowdfunding — plataforma</t>
  </si>
  <si>
    <t xml:space="preserve">Edital de Chamada Pública FIP Conexões Startups (BNDESPAR/FINEP)</t>
  </si>
  <si>
    <t xml:space="preserve">Documento enviado pelo usuário — avaliado e descartado (ver aba Descartados)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</si>
</sst>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7F1D1D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8CBAD"/>
      </patternFill>
    </fill>
    <fill>
      <patternFill patternType="solid">
        <fgColor rgb="FFD9D9D9"/>
        <bgColor rgb="FFD9E2F3"/>
      </patternFill>
    </fill>
    <fill>
      <patternFill patternType="solid">
        <fgColor rgb="FFF8CBAD"/>
        <bgColor rgb="FFFFE699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F1D1D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programacentelha.com.br/pe/" TargetMode="External"/><Relationship Id="rId2" Type="http://schemas.openxmlformats.org/officeDocument/2006/relationships/hyperlink" Target="https://www.facepe.br/" TargetMode="External"/><Relationship Id="rId3" Type="http://schemas.openxmlformats.org/officeDocument/2006/relationships/hyperlink" Target="https://www.facepe.br/" TargetMode="External"/><Relationship Id="rId4" Type="http://schemas.openxmlformats.org/officeDocument/2006/relationships/hyperlink" Target="https://www.facepe.br/wp-content/uploads/2026/07/2026.07.02-Global-PE-Espanha-1.pdf" TargetMode="External"/><Relationship Id="rId5" Type="http://schemas.openxmlformats.org/officeDocument/2006/relationships/hyperlink" Target="https://garagem.bndes.gov.br/criacao/" TargetMode="External"/><Relationship Id="rId6" Type="http://schemas.openxmlformats.org/officeDocument/2006/relationships/hyperlink" Target="https://www.portodigital.org/empreendedorismo" TargetMode="External"/><Relationship Id="rId7" Type="http://schemas.openxmlformats.org/officeDocument/2006/relationships/hyperlink" Target="https://eqseed.com/" TargetMode="External"/><Relationship Id="rId8" Type="http://schemas.openxmlformats.org/officeDocument/2006/relationships/hyperlink" Target="https://anjosdobrasil.net/" TargetMode="External"/><Relationship Id="rId9" Type="http://schemas.openxmlformats.org/officeDocument/2006/relationships/hyperlink" Target="https://gaveaangels.org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fsa.ancine.gov.br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programacentelha.com.br/pe/" TargetMode="External"/><Relationship Id="rId2" Type="http://schemas.openxmlformats.org/officeDocument/2006/relationships/hyperlink" Target="https://www.facepe.br/pernambuco-abre-inscricoes-para-o-programa-centelha-3-com-foco-em-startups-e-ideias-inovadoras/" TargetMode="External"/><Relationship Id="rId3" Type="http://schemas.openxmlformats.org/officeDocument/2006/relationships/hyperlink" Target="https://www.facepe.br/compet-solucoes-governo-lanca-nova-edicao-de-r-224-milhoes-para-apoiar-empresas-em-projetos-inovadores/" TargetMode="External"/><Relationship Id="rId4" Type="http://schemas.openxmlformats.org/officeDocument/2006/relationships/hyperlink" Target="https://www.facepe.br/governo-de-pernambuco-lanca-edital-compet-mulheres-para-impulsionar-startups-lideradas-por-mulheres/" TargetMode="External"/><Relationship Id="rId5" Type="http://schemas.openxmlformats.org/officeDocument/2006/relationships/hyperlink" Target="https://www.facepe.br/wp-content/uploads/2026/07/2026.07.02-Global-PE-Espanha-1.pdf" TargetMode="External"/><Relationship Id="rId6" Type="http://schemas.openxmlformats.org/officeDocument/2006/relationships/hyperlink" Target="https://garagem.bndes.gov.br/criacao/" TargetMode="External"/><Relationship Id="rId7" Type="http://schemas.openxmlformats.org/officeDocument/2006/relationships/hyperlink" Target="https://garagem.bndes.gov.br/wp-content/uploads/2025/08/Edital-Negocios-de-Impacto-2025-CRIACAO-Ciclo-2-_-BNDES-Garagem.pdf" TargetMode="External"/><Relationship Id="rId8" Type="http://schemas.openxmlformats.org/officeDocument/2006/relationships/hyperlink" Target="https://startupi.com.br/porto-digital-inscricoes-pre-incubacao-negocios/" TargetMode="External"/><Relationship Id="rId9" Type="http://schemas.openxmlformats.org/officeDocument/2006/relationships/hyperlink" Target="https://movimentoeconomico.com.br/tecnologia/2026/02/10/porto-digital-lanca-editais-de-incubacao-e-internacionalizacao-de-negocios/" TargetMode="External"/><Relationship Id="rId10" Type="http://schemas.openxmlformats.org/officeDocument/2006/relationships/hyperlink" Target="https://www.audiovisualworld.com.br/eventos/n&#250;cleos-criativos-2026-edital-fsa-de-desenvolvimento" TargetMode="External"/><Relationship Id="rId11" Type="http://schemas.openxmlformats.org/officeDocument/2006/relationships/hyperlink" Target="https://anjosdobrasil.net/conheca-a-rede-da-anjos/" TargetMode="External"/><Relationship Id="rId12" Type="http://schemas.openxmlformats.org/officeDocument/2006/relationships/hyperlink" Target="https://ndmadvogados.com.br/artigo/equity-crowdfunding-resolucao-cvm-88/" TargetMode="External"/><Relationship Id="rId13" Type="http://schemas.openxmlformats.org/officeDocument/2006/relationships/hyperlink" Target="https://eqseed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9" min="5" style="0" width="14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5" customFormat="false" ht="30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</row>
    <row r="7" customFormat="false" ht="15" hidden="false" customHeight="false" outlineLevel="0" collapsed="false">
      <c r="B7" s="4" t="s">
        <v>3</v>
      </c>
      <c r="C7" s="5"/>
      <c r="D7" s="6" t="s">
        <v>4</v>
      </c>
      <c r="E7" s="7"/>
      <c r="F7" s="6" t="s">
        <v>5</v>
      </c>
      <c r="G7" s="8"/>
      <c r="H7" s="6" t="s">
        <v>6</v>
      </c>
      <c r="I7" s="9"/>
      <c r="J7" s="6" t="s">
        <v>7</v>
      </c>
    </row>
    <row r="9" customFormat="false" ht="19.5" hidden="false" customHeight="true" outlineLevel="0" collapsed="false">
      <c r="B9" s="10" t="s">
        <v>8</v>
      </c>
      <c r="C9" s="10"/>
      <c r="D9" s="10"/>
      <c r="E9" s="10"/>
      <c r="F9" s="10"/>
      <c r="G9" s="10"/>
      <c r="H9" s="10"/>
      <c r="I9" s="10"/>
    </row>
    <row r="10" customFormat="false" ht="15.75" hidden="false" customHeight="true" outlineLevel="0" collapsed="false">
      <c r="B10" s="11" t="s">
        <v>9</v>
      </c>
      <c r="C10" s="11" t="s">
        <v>10</v>
      </c>
      <c r="D10" s="11" t="s">
        <v>11</v>
      </c>
    </row>
    <row r="11" customFormat="false" ht="31.5" hidden="false" customHeight="true" outlineLevel="0" collapsed="false">
      <c r="B11" s="12" t="s">
        <v>12</v>
      </c>
      <c r="C11" s="12" t="s">
        <v>13</v>
      </c>
      <c r="D11" s="12" t="s">
        <v>14</v>
      </c>
    </row>
    <row r="12" customFormat="false" ht="31.5" hidden="false" customHeight="true" outlineLevel="0" collapsed="false">
      <c r="B12" s="12" t="s">
        <v>15</v>
      </c>
      <c r="C12" s="12" t="s">
        <v>16</v>
      </c>
      <c r="D12" s="12" t="s">
        <v>17</v>
      </c>
    </row>
    <row r="13" customFormat="false" ht="31.5" hidden="false" customHeight="true" outlineLevel="0" collapsed="false">
      <c r="B13" s="12" t="s">
        <v>18</v>
      </c>
      <c r="C13" s="12" t="s">
        <v>19</v>
      </c>
      <c r="D13" s="12" t="s">
        <v>20</v>
      </c>
    </row>
    <row r="14" customFormat="false" ht="31.5" hidden="false" customHeight="true" outlineLevel="0" collapsed="false">
      <c r="B14" s="12" t="s">
        <v>21</v>
      </c>
      <c r="C14" s="12" t="s">
        <v>22</v>
      </c>
      <c r="D14" s="12" t="s">
        <v>23</v>
      </c>
    </row>
    <row r="15" customFormat="false" ht="31.5" hidden="false" customHeight="true" outlineLevel="0" collapsed="false">
      <c r="B15" s="12" t="s">
        <v>24</v>
      </c>
      <c r="C15" s="12" t="s">
        <v>25</v>
      </c>
      <c r="D15" s="12" t="s">
        <v>26</v>
      </c>
    </row>
    <row r="17" customFormat="false" ht="19.5" hidden="false" customHeight="true" outlineLevel="0" collapsed="false">
      <c r="B17" s="10" t="s">
        <v>27</v>
      </c>
      <c r="C17" s="10"/>
      <c r="D17" s="10"/>
      <c r="E17" s="10"/>
      <c r="F17" s="10"/>
      <c r="G17" s="10"/>
      <c r="H17" s="10"/>
      <c r="I17" s="10"/>
    </row>
    <row r="18" customFormat="false" ht="15" hidden="false" customHeight="false" outlineLevel="0" collapsed="false">
      <c r="B18" s="13" t="s">
        <v>28</v>
      </c>
      <c r="D18" s="14" t="n">
        <f aca="false">COUNTA('Mapa de Captação'!A4:A20)</f>
        <v>9</v>
      </c>
    </row>
    <row r="19" customFormat="false" ht="15" hidden="false" customHeight="false" outlineLevel="0" collapsed="false">
      <c r="B19" s="13" t="s">
        <v>29</v>
      </c>
      <c r="D19" s="14" t="n">
        <f aca="false">COUNTIF('Mapa de Captação'!F4:F20,"Aberto agora")</f>
        <v>1</v>
      </c>
    </row>
    <row r="20" customFormat="false" ht="15" hidden="false" customHeight="false" outlineLevel="0" collapsed="false">
      <c r="B20" s="13" t="s">
        <v>30</v>
      </c>
      <c r="D20" s="14" t="n">
        <f aca="false">COUNTIF('Mapa de Captação'!F4:F20,"Fechado — monitorar")</f>
        <v>4</v>
      </c>
    </row>
    <row r="21" customFormat="false" ht="15" hidden="false" customHeight="false" outlineLevel="0" collapsed="false">
      <c r="B21" s="13" t="s">
        <v>31</v>
      </c>
      <c r="D21" s="14" t="n">
        <f aca="false">COUNTIF('Mapa de Captação'!F4:F20,"Contínuo")</f>
        <v>4</v>
      </c>
    </row>
  </sheetData>
  <mergeCells count="5">
    <mergeCell ref="B2:I2"/>
    <mergeCell ref="B3:I3"/>
    <mergeCell ref="B5:I5"/>
    <mergeCell ref="B9:I9"/>
    <mergeCell ref="B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9" min="8" style="0" width="26"/>
    <col collapsed="false" customWidth="true" hidden="false" outlineLevel="0" max="10" min="10" style="0" width="34"/>
    <col collapsed="false" customWidth="true" hidden="false" outlineLevel="0" max="11" min="11" style="0" width="22"/>
    <col collapsed="false" customWidth="true" hidden="false" outlineLevel="0" max="12" min="12" style="0" width="40"/>
  </cols>
  <sheetData>
    <row r="1" customFormat="false" ht="24" hidden="false" customHeight="true" outlineLevel="0" collapsed="false">
      <c r="A1" s="15" t="s">
        <v>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customFormat="false" ht="33.75" hidden="false" customHeight="true" outlineLevel="0" collapsed="false">
      <c r="A3" s="11" t="s">
        <v>33</v>
      </c>
      <c r="B3" s="11" t="s">
        <v>34</v>
      </c>
      <c r="C3" s="11" t="s">
        <v>35</v>
      </c>
      <c r="D3" s="11" t="s">
        <v>36</v>
      </c>
      <c r="E3" s="11" t="s">
        <v>37</v>
      </c>
      <c r="F3" s="11" t="s">
        <v>38</v>
      </c>
      <c r="G3" s="11" t="s">
        <v>39</v>
      </c>
      <c r="H3" s="11" t="s">
        <v>40</v>
      </c>
      <c r="I3" s="11" t="s">
        <v>41</v>
      </c>
      <c r="J3" s="11" t="s">
        <v>42</v>
      </c>
      <c r="K3" s="11" t="s">
        <v>43</v>
      </c>
      <c r="L3" s="11" t="s">
        <v>44</v>
      </c>
    </row>
    <row r="4" customFormat="false" ht="61.5" hidden="false" customHeight="true" outlineLevel="0" collapsed="false">
      <c r="A4" s="12" t="s">
        <v>45</v>
      </c>
      <c r="B4" s="12" t="s">
        <v>46</v>
      </c>
      <c r="C4" s="12" t="s">
        <v>47</v>
      </c>
      <c r="D4" s="12" t="s">
        <v>48</v>
      </c>
      <c r="E4" s="12" t="s">
        <v>49</v>
      </c>
      <c r="F4" s="16" t="s">
        <v>50</v>
      </c>
      <c r="G4" s="12" t="s">
        <v>51</v>
      </c>
      <c r="H4" s="12" t="s">
        <v>52</v>
      </c>
      <c r="I4" s="12" t="s">
        <v>53</v>
      </c>
      <c r="J4" s="12" t="s">
        <v>54</v>
      </c>
      <c r="K4" s="17" t="s">
        <v>55</v>
      </c>
      <c r="L4" s="12" t="s">
        <v>56</v>
      </c>
    </row>
    <row r="5" customFormat="false" ht="61.5" hidden="false" customHeight="true" outlineLevel="0" collapsed="false">
      <c r="A5" s="12" t="s">
        <v>57</v>
      </c>
      <c r="B5" s="12" t="s">
        <v>46</v>
      </c>
      <c r="C5" s="12" t="s">
        <v>58</v>
      </c>
      <c r="D5" s="12" t="s">
        <v>59</v>
      </c>
      <c r="E5" s="12" t="s">
        <v>60</v>
      </c>
      <c r="F5" s="16" t="s">
        <v>50</v>
      </c>
      <c r="G5" s="12" t="s">
        <v>61</v>
      </c>
      <c r="H5" s="12" t="s">
        <v>62</v>
      </c>
      <c r="I5" s="12" t="s">
        <v>63</v>
      </c>
      <c r="J5" s="12" t="s">
        <v>64</v>
      </c>
      <c r="K5" s="17" t="s">
        <v>65</v>
      </c>
      <c r="L5" s="12" t="s">
        <v>66</v>
      </c>
    </row>
    <row r="6" customFormat="false" ht="61.5" hidden="false" customHeight="true" outlineLevel="0" collapsed="false">
      <c r="A6" s="12" t="s">
        <v>67</v>
      </c>
      <c r="B6" s="12" t="s">
        <v>46</v>
      </c>
      <c r="C6" s="12" t="s">
        <v>68</v>
      </c>
      <c r="D6" s="12" t="s">
        <v>69</v>
      </c>
      <c r="E6" s="12" t="s">
        <v>70</v>
      </c>
      <c r="F6" s="16" t="s">
        <v>50</v>
      </c>
      <c r="G6" s="12" t="s">
        <v>71</v>
      </c>
      <c r="H6" s="12" t="s">
        <v>72</v>
      </c>
      <c r="I6" s="12" t="s">
        <v>73</v>
      </c>
      <c r="J6" s="12" t="s">
        <v>74</v>
      </c>
      <c r="K6" s="17" t="s">
        <v>65</v>
      </c>
      <c r="L6" s="12" t="s">
        <v>75</v>
      </c>
    </row>
    <row r="7" customFormat="false" ht="61.5" hidden="false" customHeight="true" outlineLevel="0" collapsed="false">
      <c r="A7" s="12" t="s">
        <v>76</v>
      </c>
      <c r="B7" s="12" t="s">
        <v>46</v>
      </c>
      <c r="C7" s="12" t="s">
        <v>77</v>
      </c>
      <c r="D7" s="12" t="s">
        <v>78</v>
      </c>
      <c r="E7" s="12" t="s">
        <v>79</v>
      </c>
      <c r="F7" s="18" t="s">
        <v>4</v>
      </c>
      <c r="G7" s="12" t="s">
        <v>80</v>
      </c>
      <c r="H7" s="12" t="s">
        <v>81</v>
      </c>
      <c r="I7" s="12" t="s">
        <v>82</v>
      </c>
      <c r="J7" s="12" t="s">
        <v>83</v>
      </c>
      <c r="K7" s="17" t="s">
        <v>84</v>
      </c>
      <c r="L7" s="12" t="s">
        <v>85</v>
      </c>
    </row>
    <row r="8" customFormat="false" ht="61.5" hidden="false" customHeight="true" outlineLevel="0" collapsed="false">
      <c r="A8" s="12" t="s">
        <v>86</v>
      </c>
      <c r="B8" s="12" t="s">
        <v>46</v>
      </c>
      <c r="C8" s="12" t="s">
        <v>87</v>
      </c>
      <c r="D8" s="12" t="s">
        <v>88</v>
      </c>
      <c r="E8" s="12" t="s">
        <v>89</v>
      </c>
      <c r="F8" s="16" t="s">
        <v>50</v>
      </c>
      <c r="G8" s="12" t="s">
        <v>90</v>
      </c>
      <c r="H8" s="12" t="s">
        <v>91</v>
      </c>
      <c r="I8" s="12" t="s">
        <v>92</v>
      </c>
      <c r="J8" s="12" t="s">
        <v>93</v>
      </c>
      <c r="K8" s="17" t="s">
        <v>94</v>
      </c>
      <c r="L8" s="12" t="s">
        <v>95</v>
      </c>
    </row>
    <row r="9" customFormat="false" ht="61.5" hidden="false" customHeight="true" outlineLevel="0" collapsed="false">
      <c r="A9" s="12" t="s">
        <v>96</v>
      </c>
      <c r="B9" s="12" t="s">
        <v>97</v>
      </c>
      <c r="C9" s="12" t="s">
        <v>98</v>
      </c>
      <c r="D9" s="12" t="s">
        <v>99</v>
      </c>
      <c r="E9" s="12" t="s">
        <v>100</v>
      </c>
      <c r="F9" s="19" t="s">
        <v>101</v>
      </c>
      <c r="G9" s="12" t="s">
        <v>102</v>
      </c>
      <c r="H9" s="12" t="s">
        <v>103</v>
      </c>
      <c r="I9" s="12" t="s">
        <v>104</v>
      </c>
      <c r="J9" s="12" t="s">
        <v>105</v>
      </c>
      <c r="K9" s="17" t="s">
        <v>106</v>
      </c>
      <c r="L9" s="12" t="s">
        <v>107</v>
      </c>
    </row>
    <row r="10" customFormat="false" ht="61.5" hidden="false" customHeight="true" outlineLevel="0" collapsed="false">
      <c r="A10" s="12" t="s">
        <v>108</v>
      </c>
      <c r="B10" s="12" t="s">
        <v>109</v>
      </c>
      <c r="C10" s="12" t="s">
        <v>110</v>
      </c>
      <c r="D10" s="12" t="s">
        <v>111</v>
      </c>
      <c r="E10" s="12" t="s">
        <v>112</v>
      </c>
      <c r="F10" s="19" t="s">
        <v>101</v>
      </c>
      <c r="G10" s="12" t="s">
        <v>113</v>
      </c>
      <c r="H10" s="12" t="s">
        <v>81</v>
      </c>
      <c r="I10" s="12" t="s">
        <v>114</v>
      </c>
      <c r="J10" s="12" t="s">
        <v>115</v>
      </c>
      <c r="K10" s="17" t="s">
        <v>116</v>
      </c>
      <c r="L10" s="12" t="s">
        <v>117</v>
      </c>
    </row>
    <row r="11" customFormat="false" ht="61.5" hidden="false" customHeight="true" outlineLevel="0" collapsed="false">
      <c r="A11" s="12" t="s">
        <v>118</v>
      </c>
      <c r="B11" s="12" t="s">
        <v>109</v>
      </c>
      <c r="C11" s="12" t="s">
        <v>119</v>
      </c>
      <c r="D11" s="12" t="s">
        <v>120</v>
      </c>
      <c r="E11" s="12" t="s">
        <v>121</v>
      </c>
      <c r="F11" s="19" t="s">
        <v>101</v>
      </c>
      <c r="G11" s="12" t="s">
        <v>122</v>
      </c>
      <c r="H11" s="12" t="s">
        <v>81</v>
      </c>
      <c r="I11" s="12" t="s">
        <v>123</v>
      </c>
      <c r="J11" s="12" t="s">
        <v>124</v>
      </c>
      <c r="K11" s="17" t="s">
        <v>125</v>
      </c>
      <c r="L11" s="12" t="s">
        <v>126</v>
      </c>
    </row>
    <row r="12" customFormat="false" ht="61.5" hidden="false" customHeight="true" outlineLevel="0" collapsed="false">
      <c r="A12" s="12" t="s">
        <v>127</v>
      </c>
      <c r="B12" s="12" t="s">
        <v>109</v>
      </c>
      <c r="C12" s="12" t="s">
        <v>119</v>
      </c>
      <c r="D12" s="12" t="s">
        <v>128</v>
      </c>
      <c r="E12" s="12" t="s">
        <v>129</v>
      </c>
      <c r="F12" s="19" t="s">
        <v>101</v>
      </c>
      <c r="G12" s="12" t="s">
        <v>130</v>
      </c>
      <c r="H12" s="12" t="s">
        <v>81</v>
      </c>
      <c r="I12" s="12" t="s">
        <v>131</v>
      </c>
      <c r="J12" s="12" t="s">
        <v>132</v>
      </c>
      <c r="K12" s="17" t="s">
        <v>133</v>
      </c>
      <c r="L12" s="12" t="s">
        <v>134</v>
      </c>
    </row>
  </sheetData>
  <mergeCells count="1">
    <mergeCell ref="A1:L1"/>
  </mergeCells>
  <hyperlinks>
    <hyperlink ref="K4" r:id="rId1" display="https://programacentelha.com.br/pe/"/>
    <hyperlink ref="K5" r:id="rId2" display="https://www.facepe.br/"/>
    <hyperlink ref="K6" r:id="rId3" display="https://www.facepe.br/"/>
    <hyperlink ref="K7" r:id="rId4" display="https://www.facepe.br/wp-content/uploads/2026/07/2026.07.02-Global-PE-Espanha-1.pdf"/>
    <hyperlink ref="K8" r:id="rId5" display="https://garagem.bndes.gov.br/criacao/"/>
    <hyperlink ref="K9" r:id="rId6" display="https://www.portodigital.org/empreendedorismo"/>
    <hyperlink ref="K10" r:id="rId7" display="https://eqseed.com/"/>
    <hyperlink ref="K11" r:id="rId8" display="https://anjosdobrasil.net/"/>
    <hyperlink ref="K12" r:id="rId9" display="https://gaveaangels.org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  <col collapsed="false" customWidth="true" hidden="false" outlineLevel="0" max="3" min="3" style="0" width="45"/>
    <col collapsed="false" customWidth="true" hidden="false" outlineLevel="0" max="4" min="4" style="0" width="20"/>
  </cols>
  <sheetData>
    <row r="1" customFormat="false" ht="24" hidden="false" customHeight="true" outlineLevel="0" collapsed="false">
      <c r="A1" s="20" t="s">
        <v>135</v>
      </c>
      <c r="B1" s="20"/>
      <c r="C1" s="20"/>
      <c r="D1" s="20"/>
      <c r="E1" s="20"/>
    </row>
    <row r="3" customFormat="false" ht="19.5" hidden="false" customHeight="true" outlineLevel="0" collapsed="false">
      <c r="A3" s="11" t="s">
        <v>136</v>
      </c>
      <c r="B3" s="11" t="s">
        <v>137</v>
      </c>
      <c r="C3" s="11" t="s">
        <v>138</v>
      </c>
      <c r="D3" s="11" t="s">
        <v>43</v>
      </c>
    </row>
    <row r="4" customFormat="false" ht="69.75" hidden="false" customHeight="true" outlineLevel="0" collapsed="false">
      <c r="A4" s="12" t="s">
        <v>139</v>
      </c>
      <c r="B4" s="12" t="s">
        <v>140</v>
      </c>
      <c r="C4" s="12" t="s">
        <v>141</v>
      </c>
      <c r="D4" s="12" t="s">
        <v>81</v>
      </c>
    </row>
    <row r="5" customFormat="false" ht="69.75" hidden="false" customHeight="true" outlineLevel="0" collapsed="false">
      <c r="A5" s="12" t="s">
        <v>142</v>
      </c>
      <c r="B5" s="12" t="s">
        <v>143</v>
      </c>
      <c r="C5" s="12" t="s">
        <v>144</v>
      </c>
      <c r="D5" s="17" t="s">
        <v>145</v>
      </c>
    </row>
  </sheetData>
  <mergeCells count="1">
    <mergeCell ref="A1:E1"/>
  </mergeCells>
  <hyperlinks>
    <hyperlink ref="D5" r:id="rId1" display="https://fsa.ancine.gov.br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55"/>
    <col collapsed="false" customWidth="true" hidden="false" outlineLevel="0" max="3" min="3" style="0" width="35"/>
  </cols>
  <sheetData>
    <row r="1" customFormat="false" ht="24" hidden="false" customHeight="true" outlineLevel="0" collapsed="false">
      <c r="A1" s="15" t="s">
        <v>146</v>
      </c>
      <c r="B1" s="15"/>
      <c r="C1" s="15"/>
    </row>
    <row r="3" customFormat="false" ht="15" hidden="false" customHeight="false" outlineLevel="0" collapsed="false">
      <c r="A3" s="11" t="s">
        <v>147</v>
      </c>
      <c r="B3" s="11" t="s">
        <v>43</v>
      </c>
      <c r="C3" s="11" t="s">
        <v>148</v>
      </c>
    </row>
    <row r="4" customFormat="false" ht="30" hidden="false" customHeight="true" outlineLevel="0" collapsed="false">
      <c r="A4" s="12" t="s">
        <v>149</v>
      </c>
      <c r="B4" s="17" t="s">
        <v>55</v>
      </c>
      <c r="C4" s="12" t="s">
        <v>150</v>
      </c>
    </row>
    <row r="5" customFormat="false" ht="30" hidden="false" customHeight="true" outlineLevel="0" collapsed="false">
      <c r="A5" s="12" t="s">
        <v>151</v>
      </c>
      <c r="B5" s="17" t="s">
        <v>152</v>
      </c>
      <c r="C5" s="12" t="s">
        <v>153</v>
      </c>
    </row>
    <row r="6" customFormat="false" ht="30" hidden="false" customHeight="true" outlineLevel="0" collapsed="false">
      <c r="A6" s="12" t="s">
        <v>154</v>
      </c>
      <c r="B6" s="17" t="s">
        <v>155</v>
      </c>
      <c r="C6" s="12" t="s">
        <v>156</v>
      </c>
    </row>
    <row r="7" customFormat="false" ht="30" hidden="false" customHeight="true" outlineLevel="0" collapsed="false">
      <c r="A7" s="12" t="s">
        <v>157</v>
      </c>
      <c r="B7" s="17" t="s">
        <v>158</v>
      </c>
      <c r="C7" s="12" t="s">
        <v>159</v>
      </c>
    </row>
    <row r="8" customFormat="false" ht="30" hidden="false" customHeight="true" outlineLevel="0" collapsed="false">
      <c r="A8" s="12" t="s">
        <v>160</v>
      </c>
      <c r="B8" s="17" t="s">
        <v>84</v>
      </c>
      <c r="C8" s="12" t="s">
        <v>161</v>
      </c>
    </row>
    <row r="9" customFormat="false" ht="30" hidden="false" customHeight="true" outlineLevel="0" collapsed="false">
      <c r="A9" s="12" t="s">
        <v>162</v>
      </c>
      <c r="B9" s="17" t="s">
        <v>94</v>
      </c>
      <c r="C9" s="12" t="s">
        <v>163</v>
      </c>
    </row>
    <row r="10" customFormat="false" ht="30" hidden="false" customHeight="true" outlineLevel="0" collapsed="false">
      <c r="A10" s="12" t="s">
        <v>164</v>
      </c>
      <c r="B10" s="17" t="s">
        <v>165</v>
      </c>
      <c r="C10" s="12" t="s">
        <v>166</v>
      </c>
    </row>
    <row r="11" customFormat="false" ht="30" hidden="false" customHeight="true" outlineLevel="0" collapsed="false">
      <c r="A11" s="12" t="s">
        <v>167</v>
      </c>
      <c r="B11" s="17" t="s">
        <v>168</v>
      </c>
      <c r="C11" s="12" t="s">
        <v>169</v>
      </c>
    </row>
    <row r="12" customFormat="false" ht="30" hidden="false" customHeight="true" outlineLevel="0" collapsed="false">
      <c r="A12" s="12" t="s">
        <v>170</v>
      </c>
      <c r="B12" s="17" t="s">
        <v>171</v>
      </c>
      <c r="C12" s="12" t="s">
        <v>172</v>
      </c>
    </row>
    <row r="13" customFormat="false" ht="30" hidden="false" customHeight="true" outlineLevel="0" collapsed="false">
      <c r="A13" s="12" t="s">
        <v>173</v>
      </c>
      <c r="B13" s="17" t="s">
        <v>174</v>
      </c>
      <c r="C13" s="12" t="s">
        <v>175</v>
      </c>
    </row>
    <row r="14" customFormat="false" ht="30" hidden="false" customHeight="true" outlineLevel="0" collapsed="false">
      <c r="A14" s="12" t="s">
        <v>176</v>
      </c>
      <c r="B14" s="17" t="s">
        <v>177</v>
      </c>
      <c r="C14" s="12" t="s">
        <v>178</v>
      </c>
    </row>
    <row r="15" customFormat="false" ht="30" hidden="false" customHeight="true" outlineLevel="0" collapsed="false">
      <c r="A15" s="12" t="s">
        <v>179</v>
      </c>
      <c r="B15" s="17" t="s">
        <v>180</v>
      </c>
      <c r="C15" s="12" t="s">
        <v>181</v>
      </c>
    </row>
    <row r="16" customFormat="false" ht="30" hidden="false" customHeight="true" outlineLevel="0" collapsed="false">
      <c r="A16" s="12" t="s">
        <v>182</v>
      </c>
      <c r="B16" s="17" t="s">
        <v>116</v>
      </c>
      <c r="C16" s="12" t="s">
        <v>183</v>
      </c>
    </row>
    <row r="17" customFormat="false" ht="30" hidden="false" customHeight="true" outlineLevel="0" collapsed="false">
      <c r="A17" s="12" t="s">
        <v>184</v>
      </c>
      <c r="B17" s="12" t="s">
        <v>81</v>
      </c>
      <c r="C17" s="12" t="s">
        <v>185</v>
      </c>
    </row>
  </sheetData>
  <mergeCells count="1">
    <mergeCell ref="A1:C1"/>
  </mergeCells>
  <hyperlinks>
    <hyperlink ref="B4" r:id="rId1" display="https://programacentelha.com.br/pe/"/>
    <hyperlink ref="B5" r:id="rId2" display="https://www.facepe.br/pernambuco-abre-inscricoes-para-o-programa-centelha-3-com-foco-em-startups-e-ideias-inovadoras/"/>
    <hyperlink ref="B6" r:id="rId3" display="https://www.facepe.br/compet-solucoes-governo-lanca-nova-edicao-de-r-224-milhoes-para-apoiar-empresas-em-projetos-inovadores/"/>
    <hyperlink ref="B7" r:id="rId4" display="https://www.facepe.br/governo-de-pernambuco-lanca-edital-compet-mulheres-para-impulsionar-startups-lideradas-por-mulheres/"/>
    <hyperlink ref="B8" r:id="rId5" display="https://www.facepe.br/wp-content/uploads/2026/07/2026.07.02-Global-PE-Espanha-1.pdf"/>
    <hyperlink ref="B9" r:id="rId6" display="https://garagem.bndes.gov.br/criacao/"/>
    <hyperlink ref="B10" r:id="rId7" display="https://garagem.bndes.gov.br/wp-content/uploads/2025/08/Edital-Negocios-de-Impacto-2025-CRIACAO-Ciclo-2-_-BNDES-Garagem.pdf"/>
    <hyperlink ref="B11" r:id="rId8" display="https://startupi.com.br/porto-digital-inscricoes-pre-incubacao-negocios/"/>
    <hyperlink ref="B12" r:id="rId9" display="https://movimentoeconomico.com.br/tecnologia/2026/02/10/porto-digital-lanca-editais-de-incubacao-e-internacionalizacao-de-negocios/"/>
    <hyperlink ref="B13" r:id="rId10" display="https://www.audiovisualworld.com.br/eventos/n%C3%BAcleos-criativos-2026-edital-fsa-de-desenvolvimento"/>
    <hyperlink ref="B14" r:id="rId11" display="https://anjosdobrasil.net/conheca-a-rede-da-anjos/"/>
    <hyperlink ref="B15" r:id="rId12" display="https://ndmadvogados.com.br/artigo/equity-crowdfunding-resolucao-cvm-88/"/>
    <hyperlink ref="B16" r:id="rId13" display="https://eqseed.co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2026-07-15T13:08:37Z</dcterms:created>
  <dc:creator>openpyxl</dc:creator>
  <dc:description/>
  <dc:language>en-US</dc:language>
  <cp:lastModifiedBy/>
  <dcterms:modified xsi:type="dcterms:W3CDTF">2026-07-15T13:08:37Z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