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🏠 Painel Geral" sheetId="1" r:id="rId4"/>
    <sheet state="visible" name="📋 Abertura e Legalização" sheetId="2" r:id="rId5"/>
    <sheet state="visible" name="📅 Mês 1" sheetId="3" r:id="rId6"/>
    <sheet state="visible" name="📅 Mês 2" sheetId="4" r:id="rId7"/>
    <sheet state="visible" name="📅 Mês 3" sheetId="5" r:id="rId8"/>
    <sheet state="visible" name="📅 Mês 4" sheetId="6" r:id="rId9"/>
    <sheet state="visible" name="📅 Mês 5" sheetId="7" r:id="rId10"/>
    <sheet state="visible" name="📅 Mês 6" sheetId="8" r:id="rId11"/>
    <sheet state="visible" name="📖 Explicações" sheetId="9" r:id="rId12"/>
  </sheets>
  <definedNames/>
  <calcPr/>
  <extLst>
    <ext uri="GoogleSheetsCustomDataVersion2">
      <go:sheetsCustomData xmlns:go="http://customooxmlschemas.google.com/" r:id="rId13" roundtripDataChecksum="lalg5rinxk9g69An6CMBeqkOucvmHhHEoBzfnpryAA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1">
      <text>
        <t xml:space="preserve">======
ID#AAAB-ooMrcc
Unknown Author    (2026-06-27 21:03:44)
Endereço fiscal + salas de reunião (útil para INPI)</t>
      </text>
    </comment>
    <comment authorId="0" ref="C20">
      <text>
        <t xml:space="preserve">======
ID#AAAB-ooMrc8
Unknown Author    (2026-06-27 21:03:44)
Registro .com.br + SSL</t>
      </text>
    </comment>
    <comment authorId="0" ref="C19">
      <text>
        <t xml:space="preserve">======
ID#AAAB-ooMrdM
Unknown Author    (2026-06-27 21:03:44)
Calculado sobre faturamento inicial ~R$3k/mês</t>
      </text>
    </comment>
    <comment authorId="0" ref="C18">
      <text>
        <t xml:space="preserve">======
ID#AAAB-ooMrcw
Unknown Author    (2026-06-27 21:03:44)
Essencial: DAS, pró-labore, obrigações mensais</t>
      </text>
    </comment>
    <comment authorId="0" ref="C50">
      <text>
        <t xml:space="preserve">======
ID#AAAB-ooMrco
Unknown Author    (2026-06-27 21:03:44)
Plataformas focadas em cultura/cinema. Valida mercado e gera early adopters</t>
      </text>
    </comment>
    <comment authorId="0" ref="C17">
      <text>
        <t xml:space="preserve">======
ID#AAAB-ooMrdI
Unknown Author    (2026-06-27 21:03:44)
Comunicação com usuários das produtoras</t>
      </text>
    </comment>
    <comment authorId="0" ref="C49">
      <text>
        <t xml:space="preserve">======
ID#AAAB-ooMrcU
Unknown Author    (2026-06-27 21:03:44)
Investimento informal. Documente com contrato simples de mútuo</t>
      </text>
    </comment>
    <comment authorId="0" ref="C16">
      <text>
        <t xml:space="preserve">======
ID#AAAB-ooMrdU
Unknown Author    (2026-06-27 21:03:44)
Produtividade e gestão de produto</t>
      </text>
    </comment>
    <comment authorId="0" ref="C48">
      <text>
        <t xml:space="preserve">======
ID#AAAB-ooMrck
Unknown Author    (2026-06-27 21:03:44)
Capital próprio dos sócios. Não dilui. Demonstra comprometimento ao anjo</t>
      </text>
    </comment>
    <comment authorId="0" ref="C15">
      <text>
        <t xml:space="preserve">======
ID#AAAB-ooMrcs
Unknown Author    (2026-06-27 21:03:44)
Para os 3 projetos de curtas-metragens</t>
      </text>
    </comment>
    <comment authorId="0" ref="C14">
      <text>
        <t xml:space="preserve">======
ID#AAAB-ooMrdE
Unknown Author    (2026-06-27 21:03:44)
PostgreSQL RDS ou Supabase</t>
      </text>
    </comment>
    <comment authorId="0" ref="C13">
      <text>
        <t xml:space="preserve">======
ID#AAAB-ooMrcg
Unknown Author    (2026-06-27 21:03:44)
Inclui compute + logs. Escala conforme uso</t>
      </text>
    </comment>
    <comment authorId="0" ref="C12">
      <text>
        <t xml:space="preserve">======
ID#AAAB-ooMrc4
Unknown Author    (2026-06-27 21:03:44)
Inscrições, transporte, happy hours</t>
      </text>
    </comment>
    <comment authorId="0" ref="C11">
      <text>
        <t xml:space="preserve">======
ID#AAAB-ooMrdA
Unknown Author    (2026-06-27 21:03:44)
Meta Ads, conteúdo, material para festivais</t>
      </text>
    </comment>
    <comment authorId="0" ref="C10">
      <text>
        <t xml:space="preserve">======
ID#AAAB-ooMrcY
Unknown Author    (2026-06-27 21:03:44)
Apoio em redes sociais e validação com produtoras</t>
      </text>
    </comment>
    <comment authorId="0" ref="C9">
      <text>
        <t xml:space="preserve">======
ID#AAAB-ooMrdQ
Unknown Author    (2026-06-27 21:03:44)
Terceira pessoa — pode ser freela por projeto</t>
      </text>
    </comment>
    <comment authorId="0" ref="C8">
      <text>
        <t xml:space="preserve">======
ID#AAAB-ooMrcQ
Unknown Author    (2026-06-27 21:03:44)
Preencha conforme quadro societário</t>
      </text>
    </comment>
    <comment authorId="0" ref="C7">
      <text>
        <t xml:space="preserve">======
ID#AAAB-ooMrc0
Unknown Author    (2026-06-27 21:03:44)
Mínimo recomendado para atingir Fator R ≥28% e ficar no Anexo III do Simples (alíquota 6%)</t>
      </text>
    </comment>
  </commentList>
  <extLst>
    <ext uri="GoogleSheetsCustomDataVersion2">
      <go:sheetsCustomData xmlns:go="http://customooxmlschemas.google.com/" r:id="rId1" roundtripDataSignature="AMtx7mie2UwgpajCKwoVfQ7aA1dr08q35g=="/>
    </ext>
  </extLst>
</comments>
</file>

<file path=xl/sharedStrings.xml><?xml version="1.0" encoding="utf-8"?>
<sst xmlns="http://schemas.openxmlformats.org/spreadsheetml/2006/main" count="526" uniqueCount="310">
  <si>
    <t>GLAUBER — ORÇAMENTO PRÉ-INCUBAÇÃO (6 MESES)</t>
  </si>
  <si>
    <t>Plano Financeiro: Bootstrapping + FFF + Crowdfunding → Investidor Anjo</t>
  </si>
  <si>
    <t>🔵 Azul = fórmula / cálculo     🟡 Amarelo = input editável     🟢 Verde = referência entre abas</t>
  </si>
  <si>
    <t>PREMISSAS — EDITE OS CAMPOS AMARELOS</t>
  </si>
  <si>
    <t>Pró-labore por sócio (mensal)</t>
  </si>
  <si>
    <t>Mínimo recomendado para atingir Fator R ≥28% e ficar no Anexo III do Simples (alíquota 6%)</t>
  </si>
  <si>
    <t>Quantidade de sócios</t>
  </si>
  <si>
    <t>Preencha conforme quadro societário</t>
  </si>
  <si>
    <t>Desenvolvedor (freelancer/júnior)</t>
  </si>
  <si>
    <t>Terceira pessoa — pode ser freela por projeto</t>
  </si>
  <si>
    <t>Estagiário / marketing</t>
  </si>
  <si>
    <t>Apoio em redes sociais e validação com produtoras</t>
  </si>
  <si>
    <t>Verba marketing / ads (mensal)</t>
  </si>
  <si>
    <t>Meta Ads, conteúdo, material para festivais</t>
  </si>
  <si>
    <t>Eventos / networking Porto Digital</t>
  </si>
  <si>
    <t>Inscrições, transporte, happy hours</t>
  </si>
  <si>
    <t>Servidor / Nuvem (AWS, Fly, Vercel)</t>
  </si>
  <si>
    <t>Inclui compute + logs. Escala conforme uso</t>
  </si>
  <si>
    <t>Banco de dados gerenciado</t>
  </si>
  <si>
    <t>PostgreSQL RDS ou Supabase</t>
  </si>
  <si>
    <t>Storage (S3 — vídeos e assets)</t>
  </si>
  <si>
    <t>Para os 3 projetos de curtas-metragens</t>
  </si>
  <si>
    <t>Ferramentas (Notion, Figma, Linear, CI)</t>
  </si>
  <si>
    <t>Produtividade e gestão de produto</t>
  </si>
  <si>
    <t>Email transacional (Resend/SES)</t>
  </si>
  <si>
    <t>Comunicação com usuários das produtoras</t>
  </si>
  <si>
    <t>Contador mensal</t>
  </si>
  <si>
    <t>Essencial: DAS, pró-labore, obrigações mensais</t>
  </si>
  <si>
    <t>DAS Simples Nacional (estimativa)</t>
  </si>
  <si>
    <t>Calculado sobre faturamento inicial ~R$3k/mês</t>
  </si>
  <si>
    <t>Domínio + hospedagem landing page</t>
  </si>
  <si>
    <t>Registro .com.br + SSL</t>
  </si>
  <si>
    <t>Coworking / escritório virtual Recife</t>
  </si>
  <si>
    <t>Endereço fiscal + salas de reunião (útil para INPI)</t>
  </si>
  <si>
    <t>CÁLCULOS AUTOMÁTICOS</t>
  </si>
  <si>
    <t>Total folha de pagamento (mensal)</t>
  </si>
  <si>
    <t>Pró-labore sócios + dev + estagiário</t>
  </si>
  <si>
    <t>INSS sobre pró-labore (11%)</t>
  </si>
  <si>
    <t>Alíquota INSS sobre pró-labore dos sócios</t>
  </si>
  <si>
    <t>Total infraestrutura (mensal)</t>
  </si>
  <si>
    <t>Soma de todos os custos de cloud e ferramentas</t>
  </si>
  <si>
    <t>Total admin/jurídico (mensal)</t>
  </si>
  <si>
    <t>Contador + DAS + domínio + coworking + INSS</t>
  </si>
  <si>
    <t>Total marketing (mensal)</t>
  </si>
  <si>
    <t>Ads + eventos</t>
  </si>
  <si>
    <t>CUSTO OPERACIONAL MENSAL TOTAL</t>
  </si>
  <si>
    <t>Soma de todas as categorias mensais</t>
  </si>
  <si>
    <t>CUSTOS ÚNICOS DE ABERTURA (MÊS 1)</t>
  </si>
  <si>
    <t>Taxa JUCEPE — Registro LTDA</t>
  </si>
  <si>
    <t>Fonte: Tabela JUCEPE 2025 — taxa estadual obrigatória para constituição de LTDA</t>
  </si>
  <si>
    <t>Alvará Prefeitura Recife</t>
  </si>
  <si>
    <t>Fonte: Tabela de Taxas de Licenças Prefeitura Recife 2025 (valor base)</t>
  </si>
  <si>
    <t>Certificado e-CPF — 2 sócios (A1 1 ano)</t>
  </si>
  <si>
    <t>R$150 por sócio. Necessário para assinar digitalmente na JUCEPE</t>
  </si>
  <si>
    <t>Certificado e-CNPJ (empresa, A1 1 ano)</t>
  </si>
  <si>
    <t>Necessário para emitir NFS-e na Prefeitura do Recife</t>
  </si>
  <si>
    <t>Honorários contador — abertura</t>
  </si>
  <si>
    <t>Média mercado Recife. Muitos isentam se fechar contrato anual</t>
  </si>
  <si>
    <t>Registro de Marca INPI — 2 classes</t>
  </si>
  <si>
    <t>Classe 42 (software) + Classe 35 (gestão). Com desconto 50% ME/EPP (R$440 × 2)</t>
  </si>
  <si>
    <t>TOTAL ABERTURA (mês 1)</t>
  </si>
  <si>
    <t>RESUMO FINANCEIRO — 6 MESES</t>
  </si>
  <si>
    <t>Categoria</t>
  </si>
  <si>
    <t>Mês 1
(abertura)</t>
  </si>
  <si>
    <t>Mês 2</t>
  </si>
  <si>
    <t>Mês 3</t>
  </si>
  <si>
    <t>Mês 4</t>
  </si>
  <si>
    <t>Mês 5</t>
  </si>
  <si>
    <t>Mês 6
(pitch anjo)</t>
  </si>
  <si>
    <t>Custos de Abertura</t>
  </si>
  <si>
    <t>Folha de Pagamento</t>
  </si>
  <si>
    <t>Infraestrutura (cloud)</t>
  </si>
  <si>
    <t>Admin / Jurídico / Fiscal</t>
  </si>
  <si>
    <t>Marketing &amp; Eventos</t>
  </si>
  <si>
    <t>TOTAL POR MÊS</t>
  </si>
  <si>
    <t>FONTES DE CAPTAÇÃO — Bootstrapping + FFF + Crowdfunding</t>
  </si>
  <si>
    <t>Bootstrapping (sócios)</t>
  </si>
  <si>
    <t>Capital próprio dos sócios. Não dilui. Demonstra comprometimento ao anjo</t>
  </si>
  <si>
    <t>FFF — Família, Amigos e Fãs</t>
  </si>
  <si>
    <t>Investimento informal. Documente com contrato simples de mútuo</t>
  </si>
  <si>
    <t>Crowdfunding (Catarse/Kickante)</t>
  </si>
  <si>
    <t>Plataformas focadas em cultura/cinema. Valida mercado e gera early adopters</t>
  </si>
  <si>
    <t>TOTAL CAPTADO</t>
  </si>
  <si>
    <t>ANÁLISE DE GAP — Precisa vs. Capta</t>
  </si>
  <si>
    <t>Total necessário (abertura + 6 meses operação)</t>
  </si>
  <si>
    <t>Custo total do período pré-anjo</t>
  </si>
  <si>
    <t>Total captado (soma das fontes)</t>
  </si>
  <si>
    <t>Soma bootstrapping + FFF + crowdfunding</t>
  </si>
  <si>
    <t>Saldo / Gap</t>
  </si>
  <si>
    <t>Positivo = folga de caixa. Negativo = ajuste necessário</t>
  </si>
  <si>
    <t>Runway estimado (meses de fôlego)</t>
  </si>
  <si>
    <t>Quantos meses o capital captado sustenta a operação após os custos de abertura</t>
  </si>
  <si>
    <t>GLAUBER — CUSTOS DE ABERTURA E LEGALIZAÇÃO</t>
  </si>
  <si>
    <t>Referências: JUCEPE 2025 · Prefeitura Recife 2025 · INPI 2025 · Mercado Recife</t>
  </si>
  <si>
    <t>1. ABERTURA DO CNPJ LTDA — Junta Comercial PE (JUCEPE)</t>
  </si>
  <si>
    <t>Passo 1</t>
  </si>
  <si>
    <t>Certificado Digital e-CPF (A1, 1 ano) — por sócio</t>
  </si>
  <si>
    <t>R$ 150,00</t>
  </si>
  <si>
    <t>Necessário para assinar digitalmente na JUCEPE. Prazo: imediato</t>
  </si>
  <si>
    <t>Passo 2</t>
  </si>
  <si>
    <t>Consulta de Viabilidade (nome e endereço)</t>
  </si>
  <si>
    <t>Gratuito</t>
  </si>
  <si>
    <t>Portal JUCEPE — verifica nome e CNAE no endereço escolhido</t>
  </si>
  <si>
    <t>Passo 3</t>
  </si>
  <si>
    <t>DBE — Documento Básico de Entrada (Receita Federal)</t>
  </si>
  <si>
    <t>Pedido oficial de criação do CNPJ via Coletor Nacional</t>
  </si>
  <si>
    <t>Passo 4</t>
  </si>
  <si>
    <t>Taxa JUCEPE — Registro do Contrato Social LTDA</t>
  </si>
  <si>
    <t>R$ 396,00</t>
  </si>
  <si>
    <t>Taxa estadual. Prazo aprovação: 3–5 dias úteis após pagamento</t>
  </si>
  <si>
    <t>Passo 5</t>
  </si>
  <si>
    <t>Alvará Localização e Funcionamento — Prefeitura Recife</t>
  </si>
  <si>
    <t>R$ 511,67</t>
  </si>
  <si>
    <t>Portal Licenciamento Unificado PCR. Atividade de baixo risco — sem vistoria prévia</t>
  </si>
  <si>
    <t>Passo 6</t>
  </si>
  <si>
    <t>Certificado e-CNPJ (A1, 1 ano) — empresa</t>
  </si>
  <si>
    <t>R$ 220,00</t>
  </si>
  <si>
    <t>Necessário para emitir NFS-e no portal da Prefeitura do Recife</t>
  </si>
  <si>
    <t>Passo 7</t>
  </si>
  <si>
    <t>Enquadramento Simples Nacional (contador)</t>
  </si>
  <si>
    <t>Incluso nos honorários</t>
  </si>
  <si>
    <t>Solicitar em até 30 dias da inscrição municipal, máx. 60 dias do CNPJ</t>
  </si>
  <si>
    <t>⚠  ATENÇÃO — FATOR R: Planeje o pró-labore para ≥ 28% do faturamento → Anexo III (6%) em vez do Anexo V (15,5%)</t>
  </si>
  <si>
    <t>2. HONORÁRIOS CONTÁBEIS</t>
  </si>
  <si>
    <t>Honorários de Abertura (taxa única)</t>
  </si>
  <si>
    <t>R$ 600 a R$ 1.200</t>
  </si>
  <si>
    <t>Varia por escritório. Alguns isentam ao fechar contrato mensal anual</t>
  </si>
  <si>
    <t>Honorários Mensais (manutenção)</t>
  </si>
  <si>
    <t>R$ 300 a R$ 600</t>
  </si>
  <si>
    <t>DAS, folha, obrigações acessórias. Recomendado desde o 1º mês</t>
  </si>
  <si>
    <t>3. REGISTRO DE MARCA INPI — Aplicativo 'Glauber'</t>
  </si>
  <si>
    <t>Busca de Anterioridade</t>
  </si>
  <si>
    <t>Acesse busca.inpi.gov.br — buscar 'Glauber' nas classes 42 e 35 antes de depositar</t>
  </si>
  <si>
    <t>Cadastro no e-INPI</t>
  </si>
  <si>
    <t>gov.br/inpi — necessário para protocolar o pedido</t>
  </si>
  <si>
    <t>GRU 389 Classe 42 (software/SaaS)</t>
  </si>
  <si>
    <t>R$ 440,00</t>
  </si>
  <si>
    <t>Com desconto 50% ME/EPP. Cobre 'Software como Serviço [SaaS]' e desenvolvimento</t>
  </si>
  <si>
    <t>GRU 389 Classe 35 (gestão negóc.)</t>
  </si>
  <si>
    <t>Com desconto 50% ME/EPP. Cobre gestão e administração de produções</t>
  </si>
  <si>
    <t>Acompanhamento RPI (semanal)</t>
  </si>
  <si>
    <t>Revista da Propriedade Industrial — publicada toda terça-feira. Verifique número do processo</t>
  </si>
  <si>
    <t>INPI Recife — atendimento</t>
  </si>
  <si>
    <t>Presencial</t>
  </si>
  <si>
    <t>Av. Jorn. Aníbal Fernandes s/n, Sala 307, Cidade Universitária. E-mail: superintendencia.nordeste@inpi.gov.br</t>
  </si>
  <si>
    <t>RESUMO DE CUSTOS — ABERTURA</t>
  </si>
  <si>
    <t>Taxa JUCEPE</t>
  </si>
  <si>
    <t>e-CPF (2 sócios)</t>
  </si>
  <si>
    <t>e-CNPJ (empresa)</t>
  </si>
  <si>
    <t>Honorários contador abertura</t>
  </si>
  <si>
    <t>Marca INPI (2 classes c/ desc.)</t>
  </si>
  <si>
    <t>TOTAL ABERTURA (estimativa 2025)</t>
  </si>
  <si>
    <t>GLAUBER — MÊS 1</t>
  </si>
  <si>
    <t>Foco: Abertura do CNPJ, Registro de marca, setup inicial</t>
  </si>
  <si>
    <t>EQUIPE — FOLHA DE PAGAMENTO</t>
  </si>
  <si>
    <t>Pró-labore sócio 1</t>
  </si>
  <si>
    <t>Retirada mensal do sócio fundador. Sujeito a INSS</t>
  </si>
  <si>
    <t>Pró-labore sócio 2</t>
  </si>
  <si>
    <t>Retirada mensal do co-fundador. Sujeito a INSS</t>
  </si>
  <si>
    <t>Desenvolvedor (freela/júnior)</t>
  </si>
  <si>
    <t>Terceira pessoa — produto e código</t>
  </si>
  <si>
    <t>Redes sociais, conteúdo e suporte às produtoras</t>
  </si>
  <si>
    <t>INSS pró-labore (11%)</t>
  </si>
  <si>
    <t>Encargo patronal sobre pró-labore</t>
  </si>
  <si>
    <t>Subtotal Equipe</t>
  </si>
  <si>
    <t>INFRAESTRUTURA &amp; PRODUTO</t>
  </si>
  <si>
    <t>Servidor / Nuvem</t>
  </si>
  <si>
    <t>AWS / Vercel / Fly.io</t>
  </si>
  <si>
    <t>Storage (vídeos/assets)</t>
  </si>
  <si>
    <t>S3 — arquivos das produtoras</t>
  </si>
  <si>
    <t>Ferramentas (Notion/Figma)</t>
  </si>
  <si>
    <t>Produtividade, design, CI/CD</t>
  </si>
  <si>
    <t>Email transacional</t>
  </si>
  <si>
    <t>Resend ou Amazon SES</t>
  </si>
  <si>
    <t>Subtotal Infra</t>
  </si>
  <si>
    <t>ADMINISTRATIVO / JURÍDICO / FISCAL</t>
  </si>
  <si>
    <t>Custos de Abertura (mês 1 apenas)</t>
  </si>
  <si>
    <t>Apenas no mês 1</t>
  </si>
  <si>
    <t>DAS, folha, obrigações acessórias</t>
  </si>
  <si>
    <t>DAS Simples Nacional</t>
  </si>
  <si>
    <t>Guia mensal de impostos (estimativa)</t>
  </si>
  <si>
    <t>Domínio + landing page</t>
  </si>
  <si>
    <t>Registro .com.br + hospedagem</t>
  </si>
  <si>
    <t>Coworking / end. fiscal</t>
  </si>
  <si>
    <t>Endereço Recife + sala de reunião</t>
  </si>
  <si>
    <t>Subtotal Admin</t>
  </si>
  <si>
    <t>MARKETING &amp; VALIDAÇÃO</t>
  </si>
  <si>
    <t>Verba ads / conteúdo</t>
  </si>
  <si>
    <t>Meta Ads, material gráfico, festival</t>
  </si>
  <si>
    <t>Eventos / networking</t>
  </si>
  <si>
    <t>Porto Digital, festivais de cinema PE</t>
  </si>
  <si>
    <t>Subtotal Marketing</t>
  </si>
  <si>
    <t>TOTAL GERAL — Mês 1</t>
  </si>
  <si>
    <t>METAS E MARCOS — Mês 1</t>
  </si>
  <si>
    <t>✅ CNPJ LTDA aberto e aprovado pela JUCEPE</t>
  </si>
  <si>
    <t>✅ Alvará Prefeitura Recife emitido</t>
  </si>
  <si>
    <t>✅ Pedido de registro da marca Glauber protocolado no INPI</t>
  </si>
  <si>
    <t>✅ Conta PJ separada aberta (separação PJ x PF — obrigatório!)</t>
  </si>
  <si>
    <t>✅ Pró-labore configurado com INSS</t>
  </si>
  <si>
    <t>✅ Contrato com contador assinado</t>
  </si>
  <si>
    <t>🟡 Amarelo = input editável no Painel Geral   🟢 Verde = valor referenciado do Painel   🔵 Azul = fórmula calculada</t>
  </si>
  <si>
    <t>GLAUBER — MÊS 2</t>
  </si>
  <si>
    <t>Foco: Validação do protótipo — 1º curta-metragem</t>
  </si>
  <si>
    <t>TOTAL GERAL — Mês 2</t>
  </si>
  <si>
    <t>METAS E MARCOS — Mês 2</t>
  </si>
  <si>
    <t>🎬 Integrar plataforma com produtora 1 (curta-metragem)</t>
  </si>
  <si>
    <t>📊 Mapear fluxo de produção e dores reais do usuário</t>
  </si>
  <si>
    <t>📝 Documentar feedbacks qualitativos (entrevistas)</t>
  </si>
  <si>
    <t>🖥  Estabilidade de servidor: uptime &gt; 95%</t>
  </si>
  <si>
    <t>📣 Publicar 2 posts/semana no Instagram (bastidores do desenvolvimento)</t>
  </si>
  <si>
    <t>GLAUBER — MÊS 3</t>
  </si>
  <si>
    <t>Foco: Validação — 2º e 3º curtas-metragens</t>
  </si>
  <si>
    <t>TOTAL GERAL — Mês 3</t>
  </si>
  <si>
    <t>METAS E MARCOS — Mês 3</t>
  </si>
  <si>
    <t>🎬 Integrar produtoras 2 e 3 (curtas-metragens)</t>
  </si>
  <si>
    <t>📊 Coletar dados de uso: DAU, features mais usadas, churn</t>
  </si>
  <si>
    <t>🔧 Iterar produto com base em feedbacks dos 3 projetos</t>
  </si>
  <si>
    <t>💬 Coletar depoimentos e NPS das equipes</t>
  </si>
  <si>
    <t>GLAUBER — MÊS 4</t>
  </si>
  <si>
    <t>Foco: Ajustes de produto com base no feedback das produtoras</t>
  </si>
  <si>
    <t>TOTAL GERAL — Mês 4</t>
  </si>
  <si>
    <t>METAS E MARCOS — Mês 4</t>
  </si>
  <si>
    <t>🔧 Implementar melhorias prioritárias identificadas nos testes</t>
  </si>
  <si>
    <t>📈 Definir métricas-chave: TAM/SAM/SOM para o pitch</t>
  </si>
  <si>
    <t>💰 Avaliar faturamento inicial (primeiras receitas / LOIs)</t>
  </si>
  <si>
    <t>🏆 Participar de evento Porto Digital / Pernambuco Digital</t>
  </si>
  <si>
    <t>GLAUBER — MÊS 5</t>
  </si>
  <si>
    <t>Foco: Preparação do deck e materiais para o investidor anjo</t>
  </si>
  <si>
    <t>TOTAL GERAL — Mês 5</t>
  </si>
  <si>
    <t>METAS E MARCOS — Mês 5</t>
  </si>
  <si>
    <t>📊 Montar deck de pitch para investidor anjo (10–12 slides)</t>
  </si>
  <si>
    <t>🔍 Pesquisar lista de investidores anjo de cinema/tech no Brasil</t>
  </si>
  <si>
    <t>⚖  Revisar estrutura societária e cap table com contador/advogado</t>
  </si>
  <si>
    <t>📦 Organizar Data Room Tier 1 (pitch deck, one-pager, demo)</t>
  </si>
  <si>
    <t>GLAUBER — MÊS 6</t>
  </si>
  <si>
    <t>Foco: Pitch para investidor anjo — métricas e dados de uso reais</t>
  </si>
  <si>
    <t>TOTAL GERAL — Mês 6</t>
  </si>
  <si>
    <t>METAS E MARCOS — Mês 6</t>
  </si>
  <si>
    <t>🤝 Iniciar conversas paralelas com ≥5 investidores anjo (funil B2B)</t>
  </si>
  <si>
    <t>📈 Apresentar dados reais: usuários, projetos, NPS, feedback</t>
  </si>
  <si>
    <t>💼 Due diligence: CNDs limpas, contratos organizados</t>
  </si>
  <si>
    <t>🚀 Fechar rodada anjo — meta: R$50k–R$500k</t>
  </si>
  <si>
    <t>GLOSSÁRIO E EXPLICAÇÕES — ORÇAMENTO GLAUBER</t>
  </si>
  <si>
    <t>FINANCEIRO / CAPTAÇÃO</t>
  </si>
  <si>
    <t>Bootstrapping</t>
  </si>
  <si>
    <t>Financiar a startup com recursos próprios dos sócios, sem investimento externo. Demonstra comprometimento e não dilui o capital social.</t>
  </si>
  <si>
    <t>FFF — Friends, Family &amp; Fools</t>
  </si>
  <si>
    <t>Captação com pessoas próximas que acreditam no projeto. Formalizar com contrato de mútuo simples para evitar conflitos futuros.</t>
  </si>
  <si>
    <t>Crowdfunding (Catarse / Kickante)</t>
  </si>
  <si>
    <t>Financiamento coletivo via plataformas. Para o Glauber, use a Catarse (foco em cultura e cinema). Valida o mercado e gera early adopters.</t>
  </si>
  <si>
    <t>Investidor Anjo</t>
  </si>
  <si>
    <t>Pessoa física que investe capital (geralmente R$50k–R$500k) em startups early stage em troca de participação societária (equity). Além do dinheiro, traz mentoria e rede de contatos (smart money).</t>
  </si>
  <si>
    <t>Runway</t>
  </si>
  <si>
    <t>Quantos meses a startup consegue operar com o capital disponível antes de ficar sem caixa. Meta: chegar ao anjo com pelo menos 6 meses de runway.</t>
  </si>
  <si>
    <t>Default Dead vs. Default Alive</t>
  </si>
  <si>
    <t>Default Dead: o caixa acabará antes do break-even → posição fraca na negociação. Default Alive: o crescimento garante break-even antes do fim do caixa → fundador mantém controle da negociação.</t>
  </si>
  <si>
    <t>Capital Não-Dilutivo</t>
  </si>
  <si>
    <t>Recursos que não exigem cessão de participação (equity): bootstrapping, subvenções (FINEP, FACEPE), fomento direto. Ideal nas fases iniciais.</t>
  </si>
  <si>
    <t>Capital Dilutivo</t>
  </si>
  <si>
    <t>Recursos em troca de equity: investimento anjo, seed, VC. Use apenas após validar o modelo de negócio para não comprometer o cap table nas fases incertas.</t>
  </si>
  <si>
    <t>Cap Table</t>
  </si>
  <si>
    <t>Tabela de capitalização — mostra quem possui quanto da empresa. Regra de ouro: não ceder mais de 10–15% nas rodadas iniciais para não inviabilizar rodadas futuras (Série A+).</t>
  </si>
  <si>
    <t>Smart Money</t>
  </si>
  <si>
    <t>Investidor que, além do capital, agrega networking, governança e experiência no setor. Para o Glauber, buscar anjos com experiência no mercado audiovisual ou SaaS B2B.</t>
  </si>
  <si>
    <t>TRIBUTÁRIO / JURÍDICO</t>
  </si>
  <si>
    <t>Simples Nacional</t>
  </si>
  <si>
    <t>Regime tributário simplificado para ME e EPP. O DAS (Documento de Arrecadação do Simples) unifica todos os impostos em uma guia mensal.</t>
  </si>
  <si>
    <t>Fator R</t>
  </si>
  <si>
    <t>Regra do Simples para empresas de serviços: se a folha de pagamento (pró-labore + CLT) for ≥ 28% do faturamento → Anexo III (alíquota inicial 6%). Se &lt; 28% → Anexo V (alíquota inicial 15,5%). Planeje o pró-labore!</t>
  </si>
  <si>
    <t>Pró-labore</t>
  </si>
  <si>
    <t>Remuneração dos sócios pelo trabalho na empresa (≠ distribuição de lucros). Incide INSS (11% do sócio + 11% da empresa). É a base de cálculo do Fator R.</t>
  </si>
  <si>
    <t>INSS sobre pró-labore</t>
  </si>
  <si>
    <t>Contribuição previdenciária: 11% descontado do pró-labore do sócio. Obrigatório para garantir direitos previdenciários (aposentadoria, auxílio-doença).</t>
  </si>
  <si>
    <t>DAS</t>
  </si>
  <si>
    <t>Documento de Arrecadação do Simples Nacional — guia mensal unificada de impostos. Valor estimado inicial (~R$150) para faturamento de ~R$3k/mês.</t>
  </si>
  <si>
    <t>JUCEPE</t>
  </si>
  <si>
    <t>Junta Comercial do Estado de Pernambuco. Portal online para abertura de empresas integrado à Redesim. Prazo médio: 3–5 dias úteis.</t>
  </si>
  <si>
    <t>CNPJ LTDA</t>
  </si>
  <si>
    <t>Cadastro Nacional de Pessoa Jurídica — Sociedade Limitada. Mínimo 2 sócios. Responsabilidade limitada ao capital social. Formato correto para o Glauber (CNAE 6201-5/01 não permite MEI).</t>
  </si>
  <si>
    <t>CNAE 6201-5/01</t>
  </si>
  <si>
    <t>Classificação Nacional de Atividades Econômicas para 'Desenvolvimento de programas de computador sob encomenda'. Não permitido para MEI — obrigatório abrir ME ou EPP.</t>
  </si>
  <si>
    <t>Certidões Negativas (CNDs)</t>
  </si>
  <si>
    <t>Documentos que comprovam ausência de débitos fiscais. Essencial: manter CNDs limpas desde o início. CNDs sujas bloqueiam aportes de VC e investidores anjo.</t>
  </si>
  <si>
    <t>Alvará de Funcionamento</t>
  </si>
  <si>
    <t>Licença da Prefeitura do Recife. Desenvolvimento de software é atividade de baixo risco → licenciamento simplificado, sem vistoria prévia obrigatória.</t>
  </si>
  <si>
    <t>PROPRIEDADE INTELECTUAL</t>
  </si>
  <si>
    <t>INPI</t>
  </si>
  <si>
    <t>Instituto Nacional da Propriedade Industrial. Órgão responsável pelo registro de marcas no Brasil. Unidade Recife: Av. Jorn. Aníbal Fernandes s/n, Sala 307, Cidade Universitária.</t>
  </si>
  <si>
    <t>Classificação de Nice (NCL)</t>
  </si>
  <si>
    <t>Sistema internacional que organiza produtos e serviços em 45 classes. Para o Glauber: Classe 42 (software/SaaS) + Classe 35 (gestão de negócios).</t>
  </si>
  <si>
    <t>Classe 42</t>
  </si>
  <si>
    <t>Serviços tecnológicos e científicos. Inclui SaaS, desenvolvimento de software, concepção de sistemas. Principal classe para registrar o Glauber como plataforma.</t>
  </si>
  <si>
    <t>Classe 35</t>
  </si>
  <si>
    <t>Propaganda, gestão e administração de negócios. Cobre a função do Glauber como ferramenta de gestão de produção cinematográfica.</t>
  </si>
  <si>
    <t>GRU 389</t>
  </si>
  <si>
    <t>Guia de Recolhimento da União com especificação pré-aprovada. Mais simples e barato (R$440 com desconto). Recomendado para o registro do Glauber.</t>
  </si>
  <si>
    <t>Verificação obrigatória antes de depositar o pedido no INPI. Acesse busca.inpi.gov.br e pesquise 'Glauber' nas classes 42 e 35. Evita gastos com marca já registrada.</t>
  </si>
  <si>
    <t>PRODUTO / MÉTRICAS</t>
  </si>
  <si>
    <t>Product/Market Fit (PMF)</t>
  </si>
  <si>
    <t>Momento em que o produto resolve um problema real para um mercado suficientemente grande. 80% das startups não chegam ao PMF. Objetivo dos 6 meses: evidências concretas de PMF com as 3 produtoras.</t>
  </si>
  <si>
    <t>TAM / SAM / SOM</t>
  </si>
  <si>
    <t>Tamanho do mercado. TAM = mercado total endereçável. SAM = mercado que você pode atender. SOM = mercado que você realisticamente pode capturar. Essencial para o pitch ao anjo.</t>
  </si>
  <si>
    <t>Data Room</t>
  </si>
  <si>
    <t>Repositório organizado de documentos para due diligence. Estrutura em 3 tiers: Tier 1 (livre) → pitch deck, one-pager; Tier 2 (interesse mútuo) → cap table, runway; Tier 3 (NDA) → código-fonte, contratos.</t>
  </si>
  <si>
    <t>NPS — Net Promoter Score</t>
  </si>
  <si>
    <t>Métrica de satisfação do cliente (0–10). Pergunta: 'Com que probabilidade você recomendaria o Glauber?' Detratores (0–6), Neutros (7–8), Promotores (9–10). Meta: NPS &gt; 50.</t>
  </si>
  <si>
    <t>Burn Rate</t>
  </si>
  <si>
    <t>Quanto a startup gasta por mês. O total mensal calculado neste orçamento é o burn rate do Glauber na fase pré-anjo.</t>
  </si>
  <si>
    <t>Porto Digital</t>
  </si>
  <si>
    <t>Parque tecnológico em Recife (Recife Antigo, Santo Amaro, Santo Antônio). Empresas instaladas podem ter ISS reduzido a 2%. Ecossistema de inovação com mentorias, editais e networking.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</si>
</sst>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$ &quot;#,##0;[RED]&quot;(R$ &quot;#,##0\);\-"/>
    <numFmt numFmtId="165" formatCode="0&quot; meses&quot;"/>
  </numFmts>
  <fonts count="19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i/>
      <sz val="9.0"/>
      <color rgb="FF555555"/>
      <name val="Arial"/>
    </font>
    <font>
      <b/>
      <sz val="11.0"/>
      <color rgb="FFFFFFFF"/>
      <name val="Arial"/>
    </font>
    <font>
      <sz val="10.0"/>
      <color rgb="FF000000"/>
      <name val="Arial"/>
    </font>
    <font>
      <b/>
      <sz val="10.0"/>
      <color rgb="FF0000FF"/>
      <name val="Arial"/>
    </font>
    <font>
      <sz val="10.0"/>
      <color rgb="FF1A3A5C"/>
      <name val="Arial"/>
    </font>
    <font>
      <sz val="10.0"/>
      <color rgb="FF0000FF"/>
      <name val="Arial"/>
    </font>
    <font>
      <b/>
      <sz val="10.0"/>
      <color rgb="FF1A3A5C"/>
      <name val="Arial"/>
    </font>
    <font>
      <b/>
      <sz val="9.0"/>
      <color rgb="FFFFFFFF"/>
      <name val="Arial"/>
    </font>
    <font>
      <b/>
      <sz val="10.0"/>
      <color rgb="FF7B3F00"/>
      <name val="Arial"/>
    </font>
    <font>
      <b/>
      <sz val="10.0"/>
      <color rgb="FFC0392B"/>
      <name val="Arial"/>
    </font>
    <font>
      <b/>
      <sz val="10.0"/>
      <color rgb="FF000000"/>
      <name val="Arial"/>
    </font>
    <font>
      <sz val="11.0"/>
      <color theme="1"/>
      <name val="Calibri"/>
    </font>
    <font>
      <b/>
      <sz val="13.0"/>
      <color rgb="FFFFFFFF"/>
      <name val="Arial"/>
    </font>
    <font>
      <sz val="10.0"/>
      <color rgb="FF008000"/>
      <name val="Arial"/>
    </font>
    <font>
      <b/>
      <sz val="12.0"/>
      <color rgb="FFFFFFFF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2A6496"/>
        <bgColor rgb="FF2A6496"/>
      </patternFill>
    </fill>
    <fill>
      <patternFill patternType="solid">
        <fgColor rgb="FFF5F5F5"/>
        <bgColor rgb="FFF5F5F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1A5C3A"/>
        <bgColor rgb="FF1A5C3A"/>
      </patternFill>
    </fill>
    <fill>
      <patternFill patternType="solid">
        <fgColor rgb="FFD9F0E5"/>
        <bgColor rgb="FFD9F0E5"/>
      </patternFill>
    </fill>
    <fill>
      <patternFill patternType="solid">
        <fgColor rgb="FFD9EAF7"/>
        <bgColor rgb="FFD9EAF7"/>
      </patternFill>
    </fill>
    <fill>
      <patternFill patternType="solid">
        <fgColor rgb="FFFFE5CC"/>
        <bgColor rgb="FFFFE5CC"/>
      </patternFill>
    </fill>
  </fills>
  <borders count="7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medium">
        <color rgb="FF1A3A5C"/>
      </top>
      <bottom style="thin">
        <color rgb="FFCCCCCC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1" fillId="3" fontId="5" numFmtId="0" xfId="0" applyAlignment="1" applyBorder="1" applyFont="1">
      <alignment horizontal="center" shrinkToFit="0" vertical="center" wrapText="0"/>
    </xf>
    <xf borderId="4" fillId="4" fontId="6" numFmtId="0" xfId="0" applyAlignment="1" applyBorder="1" applyFill="1" applyFont="1">
      <alignment horizontal="left" shrinkToFit="0" vertical="center" wrapText="0"/>
    </xf>
    <xf borderId="4" fillId="5" fontId="7" numFmtId="164" xfId="0" applyAlignment="1" applyBorder="1" applyFill="1" applyFont="1" applyNumberFormat="1">
      <alignment horizontal="right" shrinkToFit="0" vertical="center" wrapText="0"/>
    </xf>
    <xf borderId="1" fillId="4" fontId="4" numFmtId="0" xfId="0" applyAlignment="1" applyBorder="1" applyFont="1">
      <alignment horizontal="left" shrinkToFit="0" vertical="center" wrapText="1"/>
    </xf>
    <xf borderId="4" fillId="6" fontId="6" numFmtId="0" xfId="0" applyAlignment="1" applyBorder="1" applyFill="1" applyFont="1">
      <alignment horizontal="left" shrinkToFit="0" vertical="center" wrapText="0"/>
    </xf>
    <xf borderId="1" fillId="6" fontId="4" numFmtId="0" xfId="0" applyAlignment="1" applyBorder="1" applyFont="1">
      <alignment horizontal="left" shrinkToFit="0" vertical="center" wrapText="1"/>
    </xf>
    <xf borderId="1" fillId="7" fontId="3" numFmtId="0" xfId="0" applyAlignment="1" applyBorder="1" applyFill="1" applyFont="1">
      <alignment horizontal="center" shrinkToFit="0" vertical="center" wrapText="0"/>
    </xf>
    <xf borderId="4" fillId="8" fontId="8" numFmtId="0" xfId="0" applyAlignment="1" applyBorder="1" applyFill="1" applyFont="1">
      <alignment horizontal="left" shrinkToFit="0" vertical="center" wrapText="0"/>
    </xf>
    <xf borderId="4" fillId="8" fontId="6" numFmtId="164" xfId="0" applyAlignment="1" applyBorder="1" applyFont="1" applyNumberFormat="1">
      <alignment horizontal="right" shrinkToFit="0" vertical="center" wrapText="0"/>
    </xf>
    <xf borderId="1" fillId="8" fontId="4" numFmtId="0" xfId="0" applyAlignment="1" applyBorder="1" applyFont="1">
      <alignment horizontal="left" shrinkToFit="0" vertical="center" wrapText="1"/>
    </xf>
    <xf borderId="5" fillId="0" fontId="2" numFmtId="0" xfId="0" applyBorder="1" applyFont="1"/>
    <xf borderId="4" fillId="7" fontId="3" numFmtId="0" xfId="0" applyAlignment="1" applyBorder="1" applyFont="1">
      <alignment horizontal="left" shrinkToFit="0" vertical="center" wrapText="0"/>
    </xf>
    <xf borderId="4" fillId="7" fontId="3" numFmtId="164" xfId="0" applyAlignment="1" applyBorder="1" applyFont="1" applyNumberFormat="1">
      <alignment horizontal="right" shrinkToFit="0" vertical="center" wrapText="0"/>
    </xf>
    <xf borderId="1" fillId="7" fontId="4" numFmtId="0" xfId="0" applyAlignment="1" applyBorder="1" applyFont="1">
      <alignment horizontal="left" shrinkToFit="0" vertical="center" wrapText="1"/>
    </xf>
    <xf borderId="4" fillId="5" fontId="9" numFmtId="164" xfId="0" applyAlignment="1" applyBorder="1" applyFont="1" applyNumberFormat="1">
      <alignment horizontal="right" shrinkToFit="0" vertical="center" wrapText="0"/>
    </xf>
    <xf borderId="6" fillId="9" fontId="10" numFmtId="0" xfId="0" applyAlignment="1" applyBorder="1" applyFill="1" applyFont="1">
      <alignment horizontal="left" shrinkToFit="0" vertical="center" wrapText="0"/>
    </xf>
    <xf borderId="6" fillId="9" fontId="10" numFmtId="164" xfId="0" applyAlignment="1" applyBorder="1" applyFont="1" applyNumberFormat="1">
      <alignment horizontal="right" shrinkToFit="0" vertical="center" wrapText="0"/>
    </xf>
    <xf borderId="1" fillId="2" fontId="5" numFmtId="0" xfId="0" applyAlignment="1" applyBorder="1" applyFont="1">
      <alignment horizontal="center" shrinkToFit="0" vertical="center" wrapText="0"/>
    </xf>
    <xf borderId="4" fillId="3" fontId="3" numFmtId="0" xfId="0" applyAlignment="1" applyBorder="1" applyFont="1">
      <alignment horizontal="center" shrinkToFit="0" vertical="center" wrapText="0"/>
    </xf>
    <xf borderId="4" fillId="3" fontId="11" numFmtId="0" xfId="0" applyAlignment="1" applyBorder="1" applyFont="1">
      <alignment horizontal="center" shrinkToFit="0" vertical="center" wrapText="1"/>
    </xf>
    <xf borderId="4" fillId="4" fontId="6" numFmtId="164" xfId="0" applyAlignment="1" applyBorder="1" applyFont="1" applyNumberFormat="1">
      <alignment horizontal="right" shrinkToFit="0" vertical="center" wrapText="0"/>
    </xf>
    <xf borderId="4" fillId="4" fontId="9" numFmtId="164" xfId="0" applyAlignment="1" applyBorder="1" applyFont="1" applyNumberFormat="1">
      <alignment horizontal="right" shrinkToFit="0" vertical="center" wrapText="0"/>
    </xf>
    <xf borderId="4" fillId="6" fontId="6" numFmtId="164" xfId="0" applyAlignment="1" applyBorder="1" applyFont="1" applyNumberFormat="1">
      <alignment horizontal="right" shrinkToFit="0" vertical="center" wrapText="0"/>
    </xf>
    <xf borderId="6" fillId="2" fontId="3" numFmtId="0" xfId="0" applyAlignment="1" applyBorder="1" applyFont="1">
      <alignment horizontal="left" shrinkToFit="0" vertical="center" wrapText="0"/>
    </xf>
    <xf borderId="6" fillId="2" fontId="3" numFmtId="164" xfId="0" applyAlignment="1" applyBorder="1" applyFont="1" applyNumberFormat="1">
      <alignment horizontal="right" shrinkToFit="0" vertical="center" wrapText="0"/>
    </xf>
    <xf borderId="1" fillId="7" fontId="5" numFmtId="0" xfId="0" applyAlignment="1" applyBorder="1" applyFont="1">
      <alignment horizontal="center" shrinkToFit="0" vertical="center" wrapText="0"/>
    </xf>
    <xf borderId="4" fillId="8" fontId="6" numFmtId="0" xfId="0" applyAlignment="1" applyBorder="1" applyFont="1">
      <alignment horizontal="left" shrinkToFit="0" vertical="center" wrapText="0"/>
    </xf>
    <xf borderId="6" fillId="8" fontId="10" numFmtId="0" xfId="0" applyAlignment="1" applyBorder="1" applyFont="1">
      <alignment horizontal="left" shrinkToFit="0" vertical="center" wrapText="0"/>
    </xf>
    <xf borderId="6" fillId="8" fontId="10" numFmtId="164" xfId="0" applyAlignment="1" applyBorder="1" applyFont="1" applyNumberFormat="1">
      <alignment horizontal="right" shrinkToFit="0" vertical="center" wrapText="0"/>
    </xf>
    <xf borderId="4" fillId="4" fontId="8" numFmtId="0" xfId="0" applyAlignment="1" applyBorder="1" applyFont="1">
      <alignment horizontal="left" shrinkToFit="0" vertical="center" wrapText="0"/>
    </xf>
    <xf borderId="4" fillId="6" fontId="8" numFmtId="0" xfId="0" applyAlignment="1" applyBorder="1" applyFont="1">
      <alignment horizontal="left" shrinkToFit="0" vertical="center" wrapText="0"/>
    </xf>
    <xf borderId="4" fillId="10" fontId="12" numFmtId="0" xfId="0" applyAlignment="1" applyBorder="1" applyFill="1" applyFont="1">
      <alignment horizontal="left" shrinkToFit="0" vertical="center" wrapText="0"/>
    </xf>
    <xf borderId="4" fillId="10" fontId="13" numFmtId="164" xfId="0" applyAlignment="1" applyBorder="1" applyFont="1" applyNumberFormat="1">
      <alignment horizontal="right" shrinkToFit="0" vertical="center" wrapText="0"/>
    </xf>
    <xf borderId="1" fillId="10" fontId="4" numFmtId="0" xfId="0" applyAlignment="1" applyBorder="1" applyFont="1">
      <alignment horizontal="left" shrinkToFit="0" vertical="center" wrapText="1"/>
    </xf>
    <xf borderId="4" fillId="9" fontId="10" numFmtId="0" xfId="0" applyAlignment="1" applyBorder="1" applyFont="1">
      <alignment horizontal="left" shrinkToFit="0" vertical="center" wrapText="0"/>
    </xf>
    <xf borderId="4" fillId="9" fontId="10" numFmtId="165" xfId="0" applyAlignment="1" applyBorder="1" applyFont="1" applyNumberFormat="1">
      <alignment horizontal="right" shrinkToFit="0" vertical="center" wrapText="0"/>
    </xf>
    <xf borderId="1" fillId="9" fontId="4" numFmtId="0" xfId="0" applyAlignment="1" applyBorder="1" applyFont="1">
      <alignment horizontal="left" shrinkToFit="0" vertical="center" wrapText="1"/>
    </xf>
    <xf borderId="1" fillId="3" fontId="11" numFmtId="0" xfId="0" applyAlignment="1" applyBorder="1" applyFont="1">
      <alignment horizontal="center" shrinkToFit="0" vertical="center" wrapText="0"/>
    </xf>
    <xf borderId="4" fillId="4" fontId="14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4" fillId="6" fontId="14" numFmtId="0" xfId="0" applyAlignment="1" applyBorder="1" applyFont="1">
      <alignment horizontal="left" shrinkToFit="0" vertical="center" wrapText="1"/>
    </xf>
    <xf borderId="4" fillId="6" fontId="6" numFmtId="0" xfId="0" applyAlignment="1" applyBorder="1" applyFont="1">
      <alignment horizontal="left" shrinkToFit="0" vertical="center" wrapText="1"/>
    </xf>
    <xf borderId="1" fillId="5" fontId="12" numFmtId="0" xfId="0" applyAlignment="1" applyBorder="1" applyFont="1">
      <alignment horizontal="left" shrinkToFit="0" vertical="center" wrapText="0"/>
    </xf>
    <xf borderId="4" fillId="5" fontId="9" numFmtId="0" xfId="0" applyAlignment="1" applyBorder="1" applyFont="1">
      <alignment horizontal="left" shrinkToFit="0" vertical="center" wrapText="1"/>
    </xf>
    <xf borderId="4" fillId="0" fontId="15" numFmtId="0" xfId="0" applyAlignment="1" applyBorder="1" applyFont="1">
      <alignment shrinkToFit="0" vertical="bottom" wrapText="0"/>
    </xf>
    <xf borderId="1" fillId="2" fontId="16" numFmtId="0" xfId="0" applyAlignment="1" applyBorder="1" applyFont="1">
      <alignment horizontal="center" shrinkToFit="0" vertical="center" wrapText="0"/>
    </xf>
    <xf borderId="4" fillId="8" fontId="17" numFmtId="164" xfId="0" applyAlignment="1" applyBorder="1" applyFont="1" applyNumberFormat="1">
      <alignment horizontal="right" shrinkToFit="0" vertical="center" wrapText="0"/>
    </xf>
    <xf borderId="4" fillId="4" fontId="4" numFmtId="0" xfId="0" applyAlignment="1" applyBorder="1" applyFont="1">
      <alignment horizontal="left" shrinkToFit="0" vertical="center" wrapText="1"/>
    </xf>
    <xf borderId="4" fillId="6" fontId="4" numFmtId="0" xfId="0" applyAlignment="1" applyBorder="1" applyFont="1">
      <alignment horizontal="left" shrinkToFit="0" vertical="center" wrapText="1"/>
    </xf>
    <xf borderId="4" fillId="10" fontId="6" numFmtId="0" xfId="0" applyAlignment="1" applyBorder="1" applyFont="1">
      <alignment horizontal="left" shrinkToFit="0" vertical="center" wrapText="0"/>
    </xf>
    <xf borderId="4" fillId="10" fontId="4" numFmtId="0" xfId="0" applyAlignment="1" applyBorder="1" applyFont="1">
      <alignment horizontal="left" shrinkToFit="0" vertical="center" wrapText="1"/>
    </xf>
    <xf borderId="6" fillId="2" fontId="18" numFmtId="0" xfId="0" applyAlignment="1" applyBorder="1" applyFont="1">
      <alignment horizontal="left" shrinkToFit="0" vertical="center" wrapText="0"/>
    </xf>
    <xf borderId="6" fillId="2" fontId="18" numFmtId="164" xfId="0" applyAlignment="1" applyBorder="1" applyFont="1" applyNumberFormat="1">
      <alignment horizontal="right" shrinkToFit="0" vertical="center" wrapText="0"/>
    </xf>
    <xf borderId="1" fillId="8" fontId="6" numFmtId="0" xfId="0" applyAlignment="1" applyBorder="1" applyFont="1">
      <alignment horizontal="left" shrinkToFit="0" vertical="center" wrapText="1"/>
    </xf>
    <xf borderId="1" fillId="6" fontId="6" numFmtId="0" xfId="0" applyAlignment="1" applyBorder="1" applyFont="1">
      <alignment horizontal="left" shrinkToFit="0" vertical="center" wrapText="1"/>
    </xf>
    <xf borderId="1" fillId="4" fontId="4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left" shrinkToFit="0" vertical="center" wrapText="0"/>
    </xf>
    <xf borderId="4" fillId="9" fontId="10" numFmtId="0" xfId="0" applyAlignment="1" applyBorder="1" applyFont="1">
      <alignment horizontal="left" shrinkToFit="0" vertical="top" wrapText="0"/>
    </xf>
    <xf borderId="4" fillId="4" fontId="6" numFmtId="0" xfId="0" applyAlignment="1" applyBorder="1" applyFont="1">
      <alignment horizontal="left" shrinkToFit="0" vertical="top" wrapText="1"/>
    </xf>
    <xf borderId="4" fillId="6" fontId="10" numFmtId="0" xfId="0" applyAlignment="1" applyBorder="1" applyFont="1">
      <alignment horizontal="left" shrinkToFit="0" vertical="top" wrapText="0"/>
    </xf>
    <xf borderId="4" fillId="6" fontId="6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73.43"/>
    <col customWidth="1" min="3" max="8" width="14.0"/>
    <col customWidth="1" min="9" max="26" width="8.71"/>
  </cols>
  <sheetData>
    <row r="1" ht="18.0" customHeight="1"/>
    <row r="2" ht="18.0" customHeight="1">
      <c r="B2" s="1" t="s">
        <v>0</v>
      </c>
      <c r="C2" s="2"/>
      <c r="D2" s="2"/>
      <c r="E2" s="2"/>
      <c r="F2" s="2"/>
      <c r="G2" s="3"/>
    </row>
    <row r="3" ht="18.0" customHeight="1">
      <c r="B3" s="4" t="s">
        <v>1</v>
      </c>
      <c r="C3" s="2"/>
      <c r="D3" s="2"/>
      <c r="E3" s="2"/>
      <c r="F3" s="2"/>
      <c r="G3" s="3"/>
    </row>
    <row r="4" ht="18.0" customHeight="1">
      <c r="B4" s="5" t="s">
        <v>2</v>
      </c>
    </row>
    <row r="5" ht="18.0" customHeight="1"/>
    <row r="6" ht="18.0" customHeight="1">
      <c r="B6" s="6" t="s">
        <v>3</v>
      </c>
      <c r="C6" s="2"/>
      <c r="D6" s="2"/>
      <c r="E6" s="2"/>
      <c r="F6" s="2"/>
      <c r="G6" s="3"/>
    </row>
    <row r="7" ht="19.5" customHeight="1">
      <c r="B7" s="7" t="s">
        <v>4</v>
      </c>
      <c r="C7" s="8">
        <v>2500.0</v>
      </c>
      <c r="D7" s="9" t="s">
        <v>5</v>
      </c>
      <c r="E7" s="2"/>
      <c r="F7" s="2"/>
      <c r="G7" s="3"/>
    </row>
    <row r="8" ht="19.5" customHeight="1">
      <c r="B8" s="10" t="s">
        <v>6</v>
      </c>
      <c r="C8" s="8">
        <v>2.0</v>
      </c>
      <c r="D8" s="11" t="s">
        <v>7</v>
      </c>
      <c r="E8" s="2"/>
      <c r="F8" s="2"/>
      <c r="G8" s="3"/>
    </row>
    <row r="9" ht="19.5" customHeight="1">
      <c r="B9" s="7" t="s">
        <v>8</v>
      </c>
      <c r="C9" s="8">
        <v>2000.0</v>
      </c>
      <c r="D9" s="9" t="s">
        <v>9</v>
      </c>
      <c r="E9" s="2"/>
      <c r="F9" s="2"/>
      <c r="G9" s="3"/>
    </row>
    <row r="10" ht="19.5" customHeight="1">
      <c r="B10" s="10" t="s">
        <v>10</v>
      </c>
      <c r="C10" s="8">
        <v>800.0</v>
      </c>
      <c r="D10" s="11" t="s">
        <v>11</v>
      </c>
      <c r="E10" s="2"/>
      <c r="F10" s="2"/>
      <c r="G10" s="3"/>
    </row>
    <row r="11" ht="19.5" customHeight="1">
      <c r="B11" s="7" t="s">
        <v>12</v>
      </c>
      <c r="C11" s="8">
        <v>500.0</v>
      </c>
      <c r="D11" s="9" t="s">
        <v>13</v>
      </c>
      <c r="E11" s="2"/>
      <c r="F11" s="2"/>
      <c r="G11" s="3"/>
    </row>
    <row r="12" ht="19.5" customHeight="1">
      <c r="B12" s="10" t="s">
        <v>14</v>
      </c>
      <c r="C12" s="8">
        <v>150.0</v>
      </c>
      <c r="D12" s="11" t="s">
        <v>15</v>
      </c>
      <c r="E12" s="2"/>
      <c r="F12" s="2"/>
      <c r="G12" s="3"/>
    </row>
    <row r="13" ht="19.5" customHeight="1">
      <c r="B13" s="7" t="s">
        <v>16</v>
      </c>
      <c r="C13" s="8">
        <v>300.0</v>
      </c>
      <c r="D13" s="9" t="s">
        <v>17</v>
      </c>
      <c r="E13" s="2"/>
      <c r="F13" s="2"/>
      <c r="G13" s="3"/>
    </row>
    <row r="14" ht="19.5" customHeight="1">
      <c r="B14" s="10" t="s">
        <v>18</v>
      </c>
      <c r="C14" s="8">
        <v>100.0</v>
      </c>
      <c r="D14" s="11" t="s">
        <v>19</v>
      </c>
      <c r="E14" s="2"/>
      <c r="F14" s="2"/>
      <c r="G14" s="3"/>
    </row>
    <row r="15" ht="19.5" customHeight="1">
      <c r="B15" s="7" t="s">
        <v>20</v>
      </c>
      <c r="C15" s="8">
        <v>80.0</v>
      </c>
      <c r="D15" s="9" t="s">
        <v>21</v>
      </c>
      <c r="E15" s="2"/>
      <c r="F15" s="2"/>
      <c r="G15" s="3"/>
    </row>
    <row r="16" ht="19.5" customHeight="1">
      <c r="B16" s="10" t="s">
        <v>22</v>
      </c>
      <c r="C16" s="8">
        <v>150.0</v>
      </c>
      <c r="D16" s="11" t="s">
        <v>23</v>
      </c>
      <c r="E16" s="2"/>
      <c r="F16" s="2"/>
      <c r="G16" s="3"/>
    </row>
    <row r="17" ht="19.5" customHeight="1">
      <c r="B17" s="7" t="s">
        <v>24</v>
      </c>
      <c r="C17" s="8">
        <v>50.0</v>
      </c>
      <c r="D17" s="9" t="s">
        <v>25</v>
      </c>
      <c r="E17" s="2"/>
      <c r="F17" s="2"/>
      <c r="G17" s="3"/>
    </row>
    <row r="18" ht="19.5" customHeight="1">
      <c r="B18" s="10" t="s">
        <v>26</v>
      </c>
      <c r="C18" s="8">
        <v>450.0</v>
      </c>
      <c r="D18" s="11" t="s">
        <v>27</v>
      </c>
      <c r="E18" s="2"/>
      <c r="F18" s="2"/>
      <c r="G18" s="3"/>
    </row>
    <row r="19" ht="19.5" customHeight="1">
      <c r="B19" s="7" t="s">
        <v>28</v>
      </c>
      <c r="C19" s="8">
        <v>150.0</v>
      </c>
      <c r="D19" s="9" t="s">
        <v>29</v>
      </c>
      <c r="E19" s="2"/>
      <c r="F19" s="2"/>
      <c r="G19" s="3"/>
    </row>
    <row r="20" ht="19.5" customHeight="1">
      <c r="B20" s="10" t="s">
        <v>30</v>
      </c>
      <c r="C20" s="8">
        <v>50.0</v>
      </c>
      <c r="D20" s="11" t="s">
        <v>31</v>
      </c>
      <c r="E20" s="2"/>
      <c r="F20" s="2"/>
      <c r="G20" s="3"/>
    </row>
    <row r="21" ht="19.5" customHeight="1">
      <c r="B21" s="7" t="s">
        <v>32</v>
      </c>
      <c r="C21" s="8">
        <v>200.0</v>
      </c>
      <c r="D21" s="9" t="s">
        <v>33</v>
      </c>
      <c r="E21" s="2"/>
      <c r="F21" s="2"/>
      <c r="G21" s="3"/>
    </row>
    <row r="22" ht="18.0" customHeight="1"/>
    <row r="23" ht="18.0" customHeight="1">
      <c r="B23" s="12" t="s">
        <v>34</v>
      </c>
      <c r="C23" s="2"/>
      <c r="D23" s="2"/>
      <c r="E23" s="2"/>
      <c r="F23" s="2"/>
      <c r="G23" s="3"/>
    </row>
    <row r="24" ht="19.5" customHeight="1">
      <c r="B24" s="13" t="s">
        <v>35</v>
      </c>
      <c r="C24" s="14">
        <f>C7*C8+C9+C10</f>
        <v>7800</v>
      </c>
      <c r="D24" s="15" t="s">
        <v>36</v>
      </c>
      <c r="E24" s="2"/>
      <c r="F24" s="2"/>
      <c r="G24" s="16"/>
    </row>
    <row r="25" ht="19.5" customHeight="1">
      <c r="B25" s="13" t="s">
        <v>37</v>
      </c>
      <c r="C25" s="14">
        <f>C7*C8*0.11</f>
        <v>550</v>
      </c>
      <c r="D25" s="15" t="s">
        <v>38</v>
      </c>
      <c r="E25" s="2"/>
      <c r="F25" s="2"/>
      <c r="G25" s="16"/>
    </row>
    <row r="26" ht="19.5" customHeight="1">
      <c r="B26" s="13" t="s">
        <v>39</v>
      </c>
      <c r="C26" s="14">
        <f>C13+C14+C15+C16+C17</f>
        <v>680</v>
      </c>
      <c r="D26" s="15" t="s">
        <v>40</v>
      </c>
      <c r="E26" s="2"/>
      <c r="F26" s="2"/>
      <c r="G26" s="16"/>
    </row>
    <row r="27" ht="19.5" customHeight="1">
      <c r="B27" s="13" t="s">
        <v>41</v>
      </c>
      <c r="C27" s="14">
        <f>C18+C19+C20+C21+C25</f>
        <v>1400</v>
      </c>
      <c r="D27" s="15" t="s">
        <v>42</v>
      </c>
      <c r="E27" s="2"/>
      <c r="F27" s="2"/>
      <c r="G27" s="16"/>
    </row>
    <row r="28" ht="19.5" customHeight="1">
      <c r="B28" s="13" t="s">
        <v>43</v>
      </c>
      <c r="C28" s="14">
        <f>C11+C12</f>
        <v>650</v>
      </c>
      <c r="D28" s="15" t="s">
        <v>44</v>
      </c>
      <c r="E28" s="2"/>
      <c r="F28" s="2"/>
      <c r="G28" s="16"/>
    </row>
    <row r="29" ht="19.5" customHeight="1">
      <c r="B29" s="17" t="s">
        <v>45</v>
      </c>
      <c r="C29" s="18">
        <f>C24+C26+C27+C28</f>
        <v>10530</v>
      </c>
      <c r="D29" s="19" t="s">
        <v>46</v>
      </c>
      <c r="E29" s="2"/>
      <c r="F29" s="2"/>
      <c r="G29" s="16"/>
    </row>
    <row r="30" ht="18.0" customHeight="1"/>
    <row r="31" ht="18.0" customHeight="1">
      <c r="B31" s="6" t="s">
        <v>47</v>
      </c>
      <c r="C31" s="2"/>
      <c r="D31" s="2"/>
      <c r="E31" s="2"/>
      <c r="F31" s="2"/>
      <c r="G31" s="3"/>
    </row>
    <row r="32" ht="19.5" customHeight="1">
      <c r="B32" s="7" t="s">
        <v>48</v>
      </c>
      <c r="C32" s="20">
        <v>396.0</v>
      </c>
      <c r="D32" s="9" t="s">
        <v>49</v>
      </c>
      <c r="E32" s="2"/>
      <c r="F32" s="2"/>
      <c r="G32" s="3"/>
    </row>
    <row r="33" ht="19.5" customHeight="1">
      <c r="B33" s="10" t="s">
        <v>50</v>
      </c>
      <c r="C33" s="20">
        <v>512.0</v>
      </c>
      <c r="D33" s="11" t="s">
        <v>51</v>
      </c>
      <c r="E33" s="2"/>
      <c r="F33" s="2"/>
      <c r="G33" s="3"/>
    </row>
    <row r="34" ht="19.5" customHeight="1">
      <c r="B34" s="7" t="s">
        <v>52</v>
      </c>
      <c r="C34" s="20">
        <v>300.0</v>
      </c>
      <c r="D34" s="9" t="s">
        <v>53</v>
      </c>
      <c r="E34" s="2"/>
      <c r="F34" s="2"/>
      <c r="G34" s="3"/>
    </row>
    <row r="35" ht="19.5" customHeight="1">
      <c r="B35" s="10" t="s">
        <v>54</v>
      </c>
      <c r="C35" s="20">
        <v>220.0</v>
      </c>
      <c r="D35" s="11" t="s">
        <v>55</v>
      </c>
      <c r="E35" s="2"/>
      <c r="F35" s="2"/>
      <c r="G35" s="3"/>
    </row>
    <row r="36" ht="19.5" customHeight="1">
      <c r="B36" s="7" t="s">
        <v>56</v>
      </c>
      <c r="C36" s="20">
        <v>900.0</v>
      </c>
      <c r="D36" s="9" t="s">
        <v>57</v>
      </c>
      <c r="E36" s="2"/>
      <c r="F36" s="2"/>
      <c r="G36" s="3"/>
    </row>
    <row r="37" ht="19.5" customHeight="1">
      <c r="B37" s="10" t="s">
        <v>58</v>
      </c>
      <c r="C37" s="20">
        <v>880.0</v>
      </c>
      <c r="D37" s="11" t="s">
        <v>59</v>
      </c>
      <c r="E37" s="2"/>
      <c r="F37" s="2"/>
      <c r="G37" s="3"/>
    </row>
    <row r="38" ht="18.0" customHeight="1">
      <c r="B38" s="21" t="s">
        <v>60</v>
      </c>
      <c r="C38" s="22">
        <f>SUM(C32:C37)</f>
        <v>3208</v>
      </c>
    </row>
    <row r="39" ht="18.0" customHeight="1">
      <c r="B39" s="23" t="s">
        <v>61</v>
      </c>
      <c r="C39" s="2"/>
      <c r="D39" s="2"/>
      <c r="E39" s="2"/>
      <c r="F39" s="2"/>
      <c r="G39" s="3"/>
    </row>
    <row r="40">
      <c r="B40" s="24" t="s">
        <v>62</v>
      </c>
      <c r="C40" s="25" t="s">
        <v>63</v>
      </c>
      <c r="D40" s="25" t="s">
        <v>64</v>
      </c>
      <c r="E40" s="25" t="s">
        <v>65</v>
      </c>
      <c r="F40" s="25" t="s">
        <v>66</v>
      </c>
      <c r="G40" s="25" t="s">
        <v>67</v>
      </c>
      <c r="H40" s="25" t="s">
        <v>68</v>
      </c>
    </row>
    <row r="41" ht="19.5" customHeight="1">
      <c r="B41" s="7" t="s">
        <v>69</v>
      </c>
      <c r="C41" s="26">
        <f>C38</f>
        <v>3208</v>
      </c>
      <c r="D41" s="27">
        <v>0.0</v>
      </c>
      <c r="E41" s="27">
        <v>0.0</v>
      </c>
      <c r="F41" s="27">
        <v>0.0</v>
      </c>
      <c r="G41" s="27">
        <v>0.0</v>
      </c>
      <c r="H41" s="27">
        <v>0.0</v>
      </c>
    </row>
    <row r="42" ht="19.5" customHeight="1">
      <c r="B42" s="10" t="s">
        <v>70</v>
      </c>
      <c r="C42" s="28">
        <f>C24</f>
        <v>7800</v>
      </c>
      <c r="D42" s="28">
        <f>C24</f>
        <v>7800</v>
      </c>
      <c r="E42" s="28">
        <f>C24</f>
        <v>7800</v>
      </c>
      <c r="F42" s="28">
        <f>C24</f>
        <v>7800</v>
      </c>
      <c r="G42" s="28">
        <f>C24</f>
        <v>7800</v>
      </c>
      <c r="H42" s="28">
        <f>C24</f>
        <v>7800</v>
      </c>
    </row>
    <row r="43" ht="19.5" customHeight="1">
      <c r="B43" s="7" t="s">
        <v>71</v>
      </c>
      <c r="C43" s="26">
        <f t="shared" ref="C43:C45" si="1">C26</f>
        <v>680</v>
      </c>
      <c r="D43" s="26">
        <f t="shared" ref="D43:D45" si="2">C26</f>
        <v>680</v>
      </c>
      <c r="E43" s="26">
        <f t="shared" ref="E43:E45" si="3">C26</f>
        <v>680</v>
      </c>
      <c r="F43" s="26">
        <f t="shared" ref="F43:F45" si="4">C26</f>
        <v>680</v>
      </c>
      <c r="G43" s="26">
        <f t="shared" ref="G43:G45" si="5">C26</f>
        <v>680</v>
      </c>
      <c r="H43" s="26">
        <f t="shared" ref="H43:H45" si="6">C26</f>
        <v>680</v>
      </c>
    </row>
    <row r="44" ht="19.5" customHeight="1">
      <c r="B44" s="10" t="s">
        <v>72</v>
      </c>
      <c r="C44" s="28">
        <f t="shared" si="1"/>
        <v>1400</v>
      </c>
      <c r="D44" s="28">
        <f t="shared" si="2"/>
        <v>1400</v>
      </c>
      <c r="E44" s="28">
        <f t="shared" si="3"/>
        <v>1400</v>
      </c>
      <c r="F44" s="28">
        <f t="shared" si="4"/>
        <v>1400</v>
      </c>
      <c r="G44" s="28">
        <f t="shared" si="5"/>
        <v>1400</v>
      </c>
      <c r="H44" s="28">
        <f t="shared" si="6"/>
        <v>1400</v>
      </c>
    </row>
    <row r="45" ht="19.5" customHeight="1">
      <c r="B45" s="7" t="s">
        <v>73</v>
      </c>
      <c r="C45" s="26">
        <f t="shared" si="1"/>
        <v>650</v>
      </c>
      <c r="D45" s="26">
        <f t="shared" si="2"/>
        <v>650</v>
      </c>
      <c r="E45" s="26">
        <f t="shared" si="3"/>
        <v>650</v>
      </c>
      <c r="F45" s="26">
        <f t="shared" si="4"/>
        <v>650</v>
      </c>
      <c r="G45" s="26">
        <f t="shared" si="5"/>
        <v>650</v>
      </c>
      <c r="H45" s="26">
        <f t="shared" si="6"/>
        <v>650</v>
      </c>
    </row>
    <row r="46" ht="21.75" customHeight="1">
      <c r="B46" s="29" t="s">
        <v>74</v>
      </c>
      <c r="C46" s="30">
        <f t="shared" ref="C46:H46" si="7">SUM(C41:C45)</f>
        <v>13738</v>
      </c>
      <c r="D46" s="30">
        <f t="shared" si="7"/>
        <v>10530</v>
      </c>
      <c r="E46" s="30">
        <f t="shared" si="7"/>
        <v>10530</v>
      </c>
      <c r="F46" s="30">
        <f t="shared" si="7"/>
        <v>10530</v>
      </c>
      <c r="G46" s="30">
        <f t="shared" si="7"/>
        <v>10530</v>
      </c>
      <c r="H46" s="30">
        <f t="shared" si="7"/>
        <v>10530</v>
      </c>
    </row>
    <row r="47" ht="18.0" customHeight="1">
      <c r="B47" s="31" t="s">
        <v>75</v>
      </c>
      <c r="C47" s="2"/>
      <c r="D47" s="2"/>
      <c r="E47" s="2"/>
      <c r="F47" s="2"/>
      <c r="G47" s="3"/>
    </row>
    <row r="48" ht="19.5" customHeight="1">
      <c r="B48" s="32" t="s">
        <v>76</v>
      </c>
      <c r="C48" s="8">
        <v>5000.0</v>
      </c>
      <c r="D48" s="15" t="s">
        <v>77</v>
      </c>
      <c r="E48" s="2"/>
      <c r="F48" s="2"/>
      <c r="G48" s="3"/>
    </row>
    <row r="49" ht="19.5" customHeight="1">
      <c r="B49" s="10" t="s">
        <v>78</v>
      </c>
      <c r="C49" s="8">
        <v>8000.0</v>
      </c>
      <c r="D49" s="11" t="s">
        <v>79</v>
      </c>
      <c r="E49" s="2"/>
      <c r="F49" s="2"/>
      <c r="G49" s="3"/>
    </row>
    <row r="50">
      <c r="B50" s="32" t="s">
        <v>80</v>
      </c>
      <c r="C50" s="8">
        <v>6000.0</v>
      </c>
      <c r="D50" s="15" t="s">
        <v>81</v>
      </c>
      <c r="E50" s="2"/>
      <c r="F50" s="2"/>
      <c r="G50" s="3"/>
    </row>
    <row r="51" ht="18.0" customHeight="1">
      <c r="B51" s="33" t="s">
        <v>82</v>
      </c>
      <c r="C51" s="34">
        <f>SUM(C48:C50)</f>
        <v>19000</v>
      </c>
    </row>
    <row r="52" ht="18.0" customHeight="1">
      <c r="B52" s="4" t="s">
        <v>83</v>
      </c>
      <c r="C52" s="2"/>
      <c r="D52" s="2"/>
      <c r="E52" s="2"/>
      <c r="F52" s="2"/>
      <c r="G52" s="3"/>
    </row>
    <row r="53" ht="19.5" customHeight="1">
      <c r="B53" s="35" t="s">
        <v>84</v>
      </c>
      <c r="C53" s="26">
        <f>C38+C29*6</f>
        <v>66388</v>
      </c>
      <c r="D53" s="9" t="s">
        <v>85</v>
      </c>
      <c r="E53" s="2"/>
      <c r="F53" s="2"/>
      <c r="G53" s="3"/>
    </row>
    <row r="54" ht="19.5" customHeight="1">
      <c r="B54" s="36" t="s">
        <v>86</v>
      </c>
      <c r="C54" s="28">
        <f>C51</f>
        <v>19000</v>
      </c>
      <c r="D54" s="11" t="s">
        <v>87</v>
      </c>
      <c r="E54" s="2"/>
      <c r="F54" s="2"/>
      <c r="G54" s="3"/>
    </row>
    <row r="55" ht="19.5" customHeight="1">
      <c r="B55" s="37" t="s">
        <v>88</v>
      </c>
      <c r="C55" s="38">
        <f>C54-C53</f>
        <v>-47388</v>
      </c>
      <c r="D55" s="39" t="s">
        <v>89</v>
      </c>
      <c r="E55" s="2"/>
      <c r="F55" s="2"/>
      <c r="G55" s="3"/>
    </row>
    <row r="56">
      <c r="B56" s="40" t="s">
        <v>90</v>
      </c>
      <c r="C56" s="41">
        <f>IFERROR(INT((C51-C38)/C29),0)</f>
        <v>1</v>
      </c>
      <c r="D56" s="42" t="s">
        <v>91</v>
      </c>
      <c r="E56" s="2"/>
      <c r="F56" s="2"/>
      <c r="G56" s="3"/>
    </row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2:G2"/>
    <mergeCell ref="B3:G3"/>
    <mergeCell ref="B4:G4"/>
    <mergeCell ref="B6:G6"/>
    <mergeCell ref="D7:G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B23:G23"/>
    <mergeCell ref="D24:G24"/>
    <mergeCell ref="D25:G25"/>
    <mergeCell ref="D26:G26"/>
    <mergeCell ref="D27:G27"/>
    <mergeCell ref="D28:G28"/>
    <mergeCell ref="D29:G29"/>
    <mergeCell ref="B31:G31"/>
    <mergeCell ref="D32:G32"/>
    <mergeCell ref="D48:G48"/>
    <mergeCell ref="D49:G49"/>
    <mergeCell ref="D50:G50"/>
    <mergeCell ref="B52:G52"/>
    <mergeCell ref="D53:G53"/>
    <mergeCell ref="D54:G54"/>
    <mergeCell ref="D55:G55"/>
    <mergeCell ref="D56:G56"/>
    <mergeCell ref="D33:G33"/>
    <mergeCell ref="D34:G34"/>
    <mergeCell ref="D35:G35"/>
    <mergeCell ref="D36:G36"/>
    <mergeCell ref="D37:G37"/>
    <mergeCell ref="B39:G39"/>
    <mergeCell ref="B47:G47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56.14"/>
    <col customWidth="1" min="3" max="3" width="16.0"/>
    <col customWidth="1" min="4" max="4" width="12.0"/>
    <col customWidth="1" min="5" max="5" width="30.0"/>
    <col customWidth="1" min="6" max="6" width="4.0"/>
    <col customWidth="1" min="7" max="26" width="8.71"/>
  </cols>
  <sheetData>
    <row r="1" ht="18.0" customHeight="1"/>
    <row r="2" ht="18.0" customHeight="1">
      <c r="B2" s="1" t="s">
        <v>92</v>
      </c>
      <c r="C2" s="2"/>
      <c r="D2" s="2"/>
      <c r="E2" s="3"/>
    </row>
    <row r="3" ht="18.0" customHeight="1">
      <c r="B3" s="43" t="s">
        <v>93</v>
      </c>
      <c r="C3" s="2"/>
      <c r="D3" s="2"/>
      <c r="E3" s="3"/>
    </row>
    <row r="4" ht="18.0" customHeight="1"/>
    <row r="5" ht="18.0" customHeight="1">
      <c r="B5" s="4" t="s">
        <v>94</v>
      </c>
      <c r="C5" s="2"/>
      <c r="D5" s="2"/>
      <c r="E5" s="3"/>
    </row>
    <row r="6">
      <c r="B6" s="44" t="s">
        <v>95</v>
      </c>
      <c r="C6" s="45" t="s">
        <v>96</v>
      </c>
      <c r="D6" s="46" t="s">
        <v>97</v>
      </c>
      <c r="E6" s="45" t="s">
        <v>98</v>
      </c>
    </row>
    <row r="7">
      <c r="B7" s="47" t="s">
        <v>99</v>
      </c>
      <c r="C7" s="48" t="s">
        <v>100</v>
      </c>
      <c r="D7" s="48" t="s">
        <v>101</v>
      </c>
      <c r="E7" s="48" t="s">
        <v>102</v>
      </c>
    </row>
    <row r="8">
      <c r="B8" s="44" t="s">
        <v>103</v>
      </c>
      <c r="C8" s="45" t="s">
        <v>104</v>
      </c>
      <c r="D8" s="45" t="s">
        <v>101</v>
      </c>
      <c r="E8" s="45" t="s">
        <v>105</v>
      </c>
    </row>
    <row r="9">
      <c r="B9" s="47" t="s">
        <v>106</v>
      </c>
      <c r="C9" s="48" t="s">
        <v>107</v>
      </c>
      <c r="D9" s="46" t="s">
        <v>108</v>
      </c>
      <c r="E9" s="48" t="s">
        <v>109</v>
      </c>
    </row>
    <row r="10">
      <c r="B10" s="44" t="s">
        <v>110</v>
      </c>
      <c r="C10" s="45" t="s">
        <v>111</v>
      </c>
      <c r="D10" s="46" t="s">
        <v>112</v>
      </c>
      <c r="E10" s="45" t="s">
        <v>113</v>
      </c>
    </row>
    <row r="11">
      <c r="B11" s="47" t="s">
        <v>114</v>
      </c>
      <c r="C11" s="48" t="s">
        <v>115</v>
      </c>
      <c r="D11" s="46" t="s">
        <v>116</v>
      </c>
      <c r="E11" s="48" t="s">
        <v>117</v>
      </c>
    </row>
    <row r="12">
      <c r="B12" s="44" t="s">
        <v>118</v>
      </c>
      <c r="C12" s="45" t="s">
        <v>119</v>
      </c>
      <c r="D12" s="45" t="s">
        <v>120</v>
      </c>
      <c r="E12" s="45" t="s">
        <v>121</v>
      </c>
    </row>
    <row r="13" ht="24.0" customHeight="1">
      <c r="B13" s="49" t="s">
        <v>122</v>
      </c>
      <c r="C13" s="2"/>
      <c r="D13" s="2"/>
      <c r="E13" s="3"/>
    </row>
    <row r="14" ht="18.0" customHeight="1"/>
    <row r="15" ht="18.0" customHeight="1">
      <c r="B15" s="4" t="s">
        <v>123</v>
      </c>
      <c r="C15" s="2"/>
      <c r="D15" s="2"/>
      <c r="E15" s="3"/>
    </row>
    <row r="16">
      <c r="B16" s="45" t="s">
        <v>124</v>
      </c>
      <c r="C16" s="45" t="s">
        <v>125</v>
      </c>
      <c r="D16" s="45" t="s">
        <v>126</v>
      </c>
    </row>
    <row r="17">
      <c r="B17" s="48" t="s">
        <v>127</v>
      </c>
      <c r="C17" s="48" t="s">
        <v>128</v>
      </c>
      <c r="D17" s="48" t="s">
        <v>129</v>
      </c>
    </row>
    <row r="18" ht="18.0" customHeight="1"/>
    <row r="19" ht="18.0" customHeight="1"/>
    <row r="20" ht="18.0" customHeight="1">
      <c r="B20" s="4" t="s">
        <v>130</v>
      </c>
      <c r="C20" s="2"/>
      <c r="D20" s="2"/>
      <c r="E20" s="3"/>
    </row>
    <row r="21">
      <c r="B21" s="45" t="s">
        <v>131</v>
      </c>
      <c r="C21" s="50" t="s">
        <v>101</v>
      </c>
      <c r="D21" s="45" t="s">
        <v>132</v>
      </c>
    </row>
    <row r="22">
      <c r="B22" s="48" t="s">
        <v>133</v>
      </c>
      <c r="C22" s="50" t="s">
        <v>101</v>
      </c>
      <c r="D22" s="48" t="s">
        <v>134</v>
      </c>
    </row>
    <row r="23">
      <c r="B23" s="45" t="s">
        <v>135</v>
      </c>
      <c r="C23" s="50" t="s">
        <v>136</v>
      </c>
      <c r="D23" s="45" t="s">
        <v>137</v>
      </c>
    </row>
    <row r="24" ht="21.75" customHeight="1">
      <c r="B24" s="48" t="s">
        <v>138</v>
      </c>
      <c r="C24" s="50" t="s">
        <v>136</v>
      </c>
      <c r="D24" s="48" t="s">
        <v>139</v>
      </c>
    </row>
    <row r="25" ht="21.75" customHeight="1">
      <c r="B25" s="45" t="s">
        <v>140</v>
      </c>
      <c r="C25" s="50" t="s">
        <v>101</v>
      </c>
      <c r="D25" s="45" t="s">
        <v>141</v>
      </c>
    </row>
    <row r="26" ht="21.75" customHeight="1">
      <c r="B26" s="48" t="s">
        <v>142</v>
      </c>
      <c r="C26" s="50" t="s">
        <v>143</v>
      </c>
      <c r="D26" s="48" t="s">
        <v>144</v>
      </c>
    </row>
    <row r="27" ht="18.0" customHeight="1"/>
    <row r="28" ht="18.0" customHeight="1">
      <c r="B28" s="23" t="s">
        <v>145</v>
      </c>
      <c r="C28" s="2"/>
      <c r="D28" s="2"/>
      <c r="E28" s="3"/>
    </row>
    <row r="29" ht="18.0" customHeight="1">
      <c r="B29" s="7" t="s">
        <v>146</v>
      </c>
      <c r="C29" s="20">
        <v>396.0</v>
      </c>
      <c r="D29" s="51"/>
      <c r="E29" s="51"/>
    </row>
    <row r="30" ht="18.0" customHeight="1">
      <c r="B30" s="10" t="s">
        <v>50</v>
      </c>
      <c r="C30" s="20">
        <v>512.0</v>
      </c>
      <c r="D30" s="51"/>
      <c r="E30" s="51"/>
    </row>
    <row r="31" ht="18.0" customHeight="1">
      <c r="B31" s="7" t="s">
        <v>147</v>
      </c>
      <c r="C31" s="20">
        <v>300.0</v>
      </c>
      <c r="D31" s="51"/>
      <c r="E31" s="51"/>
    </row>
    <row r="32" ht="18.0" customHeight="1">
      <c r="B32" s="10" t="s">
        <v>148</v>
      </c>
      <c r="C32" s="20">
        <v>220.0</v>
      </c>
      <c r="D32" s="51"/>
      <c r="E32" s="51"/>
    </row>
    <row r="33" ht="18.0" customHeight="1">
      <c r="B33" s="7" t="s">
        <v>149</v>
      </c>
      <c r="C33" s="20">
        <v>900.0</v>
      </c>
      <c r="D33" s="51"/>
      <c r="E33" s="51"/>
    </row>
    <row r="34" ht="18.0" customHeight="1">
      <c r="B34" s="10" t="s">
        <v>150</v>
      </c>
      <c r="C34" s="20">
        <v>880.0</v>
      </c>
      <c r="D34" s="51"/>
      <c r="E34" s="51"/>
    </row>
    <row r="35" ht="21.75" customHeight="1">
      <c r="B35" s="21" t="s">
        <v>151</v>
      </c>
      <c r="C35" s="22">
        <f>SUM(C29:C34)</f>
        <v>3208</v>
      </c>
    </row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E2"/>
    <mergeCell ref="B3:E3"/>
    <mergeCell ref="B5:E5"/>
    <mergeCell ref="B13:E13"/>
    <mergeCell ref="B15:E15"/>
    <mergeCell ref="B20:E20"/>
    <mergeCell ref="B28:E2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2.0"/>
    <col customWidth="1" min="3" max="4" width="16.0"/>
    <col customWidth="1" min="5" max="5" width="26.86"/>
    <col customWidth="1" min="6" max="6" width="3.0"/>
    <col customWidth="1" min="7" max="26" width="8.71"/>
  </cols>
  <sheetData>
    <row r="1" ht="18.0" customHeight="1"/>
    <row r="2" ht="18.0" customHeight="1">
      <c r="B2" s="52" t="s">
        <v>152</v>
      </c>
      <c r="C2" s="2"/>
      <c r="D2" s="2"/>
      <c r="E2" s="3"/>
    </row>
    <row r="3" ht="18.0" customHeight="1">
      <c r="B3" s="4" t="s">
        <v>153</v>
      </c>
      <c r="C3" s="2"/>
      <c r="D3" s="2"/>
      <c r="E3" s="3"/>
    </row>
    <row r="4" ht="18.0" customHeight="1"/>
    <row r="5" ht="18.0" customHeight="1">
      <c r="B5" s="4" t="s">
        <v>154</v>
      </c>
      <c r="C5" s="2"/>
      <c r="D5" s="2"/>
      <c r="E5" s="3"/>
    </row>
    <row r="6">
      <c r="B6" s="7" t="s">
        <v>155</v>
      </c>
      <c r="C6" s="53">
        <f>'🏠 Painel Geral'!C7</f>
        <v>2500</v>
      </c>
      <c r="D6" s="7"/>
      <c r="E6" s="54" t="s">
        <v>156</v>
      </c>
    </row>
    <row r="7">
      <c r="B7" s="10" t="s">
        <v>157</v>
      </c>
      <c r="C7" s="53">
        <f>'🏠 Painel Geral'!C7</f>
        <v>2500</v>
      </c>
      <c r="D7" s="10"/>
      <c r="E7" s="55" t="s">
        <v>158</v>
      </c>
    </row>
    <row r="8">
      <c r="B8" s="7" t="s">
        <v>159</v>
      </c>
      <c r="C8" s="53">
        <f>'🏠 Painel Geral'!C9</f>
        <v>2000</v>
      </c>
      <c r="D8" s="7"/>
      <c r="E8" s="54" t="s">
        <v>160</v>
      </c>
    </row>
    <row r="9" ht="19.5" customHeight="1">
      <c r="B9" s="10" t="s">
        <v>10</v>
      </c>
      <c r="C9" s="53">
        <f>'🏠 Painel Geral'!C10</f>
        <v>800</v>
      </c>
      <c r="D9" s="10"/>
      <c r="E9" s="55" t="s">
        <v>161</v>
      </c>
    </row>
    <row r="10">
      <c r="B10" s="7" t="s">
        <v>162</v>
      </c>
      <c r="C10" s="53">
        <f>'🏠 Painel Geral'!C7*'🏠 Painel Geral'!C8*0.11</f>
        <v>550</v>
      </c>
      <c r="D10" s="7"/>
      <c r="E10" s="54" t="s">
        <v>163</v>
      </c>
    </row>
    <row r="11" ht="18.0" customHeight="1">
      <c r="B11" s="21" t="s">
        <v>164</v>
      </c>
      <c r="C11" s="22">
        <f>SUM(C6:C10)</f>
        <v>8350</v>
      </c>
    </row>
    <row r="12" ht="18.0" customHeight="1">
      <c r="B12" s="4" t="s">
        <v>165</v>
      </c>
      <c r="C12" s="2"/>
      <c r="D12" s="2"/>
      <c r="E12" s="3"/>
    </row>
    <row r="13">
      <c r="B13" s="7" t="s">
        <v>166</v>
      </c>
      <c r="C13" s="53">
        <f>'🏠 Painel Geral'!C13</f>
        <v>300</v>
      </c>
      <c r="D13" s="7"/>
      <c r="E13" s="54" t="s">
        <v>167</v>
      </c>
    </row>
    <row r="14">
      <c r="B14" s="10" t="s">
        <v>18</v>
      </c>
      <c r="C14" s="53">
        <f>'🏠 Painel Geral'!C14</f>
        <v>100</v>
      </c>
      <c r="D14" s="10"/>
      <c r="E14" s="55" t="s">
        <v>19</v>
      </c>
    </row>
    <row r="15">
      <c r="B15" s="7" t="s">
        <v>168</v>
      </c>
      <c r="C15" s="53">
        <f>'🏠 Painel Geral'!C15</f>
        <v>80</v>
      </c>
      <c r="D15" s="7"/>
      <c r="E15" s="54" t="s">
        <v>169</v>
      </c>
    </row>
    <row r="16">
      <c r="B16" s="10" t="s">
        <v>170</v>
      </c>
      <c r="C16" s="53">
        <f>'🏠 Painel Geral'!C16</f>
        <v>150</v>
      </c>
      <c r="D16" s="10"/>
      <c r="E16" s="55" t="s">
        <v>171</v>
      </c>
    </row>
    <row r="17" ht="18.0" customHeight="1">
      <c r="B17" s="7" t="s">
        <v>172</v>
      </c>
      <c r="C17" s="53">
        <f>'🏠 Painel Geral'!C17</f>
        <v>50</v>
      </c>
      <c r="D17" s="7"/>
      <c r="E17" s="54" t="s">
        <v>173</v>
      </c>
    </row>
    <row r="18" ht="18.0" customHeight="1">
      <c r="B18" s="21" t="s">
        <v>174</v>
      </c>
      <c r="C18" s="22">
        <f>SUM(C13:C17)</f>
        <v>680</v>
      </c>
    </row>
    <row r="19" ht="18.0" customHeight="1">
      <c r="B19" s="4" t="s">
        <v>175</v>
      </c>
      <c r="C19" s="2"/>
      <c r="D19" s="2"/>
      <c r="E19" s="3"/>
    </row>
    <row r="20" ht="18.0" customHeight="1">
      <c r="B20" s="56" t="s">
        <v>176</v>
      </c>
      <c r="C20" s="53">
        <f>'📋 Abertura e Legalização'!C35</f>
        <v>3208</v>
      </c>
      <c r="D20" s="56"/>
      <c r="E20" s="57" t="s">
        <v>177</v>
      </c>
    </row>
    <row r="21">
      <c r="B21" s="10" t="s">
        <v>26</v>
      </c>
      <c r="C21" s="53">
        <f>'🏠 Painel Geral'!C18</f>
        <v>450</v>
      </c>
      <c r="D21" s="10"/>
      <c r="E21" s="55" t="s">
        <v>178</v>
      </c>
    </row>
    <row r="22">
      <c r="B22" s="7" t="s">
        <v>179</v>
      </c>
      <c r="C22" s="53">
        <f>'🏠 Painel Geral'!C19</f>
        <v>150</v>
      </c>
      <c r="D22" s="7"/>
      <c r="E22" s="54" t="s">
        <v>180</v>
      </c>
    </row>
    <row r="23">
      <c r="B23" s="10" t="s">
        <v>181</v>
      </c>
      <c r="C23" s="53">
        <f>'🏠 Painel Geral'!C20</f>
        <v>50</v>
      </c>
      <c r="D23" s="10"/>
      <c r="E23" s="55" t="s">
        <v>182</v>
      </c>
    </row>
    <row r="24">
      <c r="B24" s="7" t="s">
        <v>183</v>
      </c>
      <c r="C24" s="53">
        <f>'🏠 Painel Geral'!C21</f>
        <v>200</v>
      </c>
      <c r="D24" s="7"/>
      <c r="E24" s="54" t="s">
        <v>184</v>
      </c>
    </row>
    <row r="25" ht="18.0" customHeight="1">
      <c r="B25" s="21" t="s">
        <v>185</v>
      </c>
      <c r="C25" s="22">
        <f>SUM(C20:C24)</f>
        <v>4058</v>
      </c>
    </row>
    <row r="26" ht="18.0" customHeight="1">
      <c r="B26" s="4" t="s">
        <v>186</v>
      </c>
      <c r="C26" s="2"/>
      <c r="D26" s="2"/>
      <c r="E26" s="3"/>
    </row>
    <row r="27">
      <c r="B27" s="7" t="s">
        <v>187</v>
      </c>
      <c r="C27" s="53">
        <f>'🏠 Painel Geral'!C11</f>
        <v>500</v>
      </c>
      <c r="D27" s="7"/>
      <c r="E27" s="54" t="s">
        <v>188</v>
      </c>
    </row>
    <row r="28">
      <c r="B28" s="10" t="s">
        <v>189</v>
      </c>
      <c r="C28" s="53">
        <f>'🏠 Painel Geral'!C12</f>
        <v>150</v>
      </c>
      <c r="D28" s="10"/>
      <c r="E28" s="55" t="s">
        <v>190</v>
      </c>
    </row>
    <row r="29" ht="18.0" customHeight="1">
      <c r="B29" s="21" t="s">
        <v>191</v>
      </c>
      <c r="C29" s="22">
        <f>SUM(C27:C28)</f>
        <v>650</v>
      </c>
    </row>
    <row r="30" ht="18.0" customHeight="1"/>
    <row r="31" ht="24.0" customHeight="1">
      <c r="B31" s="58" t="s">
        <v>192</v>
      </c>
      <c r="C31" s="59">
        <f>C11+C18+C25+C29</f>
        <v>13738</v>
      </c>
    </row>
    <row r="32" ht="18.0" customHeight="1">
      <c r="B32" s="12" t="s">
        <v>193</v>
      </c>
      <c r="C32" s="2"/>
      <c r="D32" s="2"/>
      <c r="E32" s="3"/>
    </row>
    <row r="33" ht="19.5" customHeight="1">
      <c r="B33" s="60" t="s">
        <v>194</v>
      </c>
      <c r="C33" s="2"/>
      <c r="D33" s="2"/>
      <c r="E33" s="3"/>
    </row>
    <row r="34" ht="19.5" customHeight="1">
      <c r="B34" s="61" t="s">
        <v>195</v>
      </c>
      <c r="C34" s="2"/>
      <c r="D34" s="2"/>
      <c r="E34" s="3"/>
    </row>
    <row r="35" ht="19.5" customHeight="1">
      <c r="B35" s="60" t="s">
        <v>196</v>
      </c>
      <c r="C35" s="2"/>
      <c r="D35" s="2"/>
      <c r="E35" s="3"/>
    </row>
    <row r="36" ht="19.5" customHeight="1">
      <c r="B36" s="61" t="s">
        <v>197</v>
      </c>
      <c r="C36" s="2"/>
      <c r="D36" s="2"/>
      <c r="E36" s="3"/>
    </row>
    <row r="37" ht="19.5" customHeight="1">
      <c r="B37" s="60" t="s">
        <v>198</v>
      </c>
      <c r="C37" s="2"/>
      <c r="D37" s="2"/>
      <c r="E37" s="3"/>
    </row>
    <row r="38" ht="19.5" customHeight="1">
      <c r="B38" s="61" t="s">
        <v>199</v>
      </c>
      <c r="C38" s="2"/>
      <c r="D38" s="2"/>
      <c r="E38" s="3"/>
    </row>
    <row r="39" ht="18.0" customHeight="1"/>
    <row r="40" ht="18.0" customHeight="1">
      <c r="B40" s="62" t="s">
        <v>200</v>
      </c>
      <c r="C40" s="2"/>
      <c r="D40" s="2"/>
      <c r="E40" s="3"/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33:E33"/>
    <mergeCell ref="B34:E34"/>
    <mergeCell ref="B35:E35"/>
    <mergeCell ref="B36:E36"/>
    <mergeCell ref="B37:E37"/>
    <mergeCell ref="B38:E38"/>
    <mergeCell ref="B40:E40"/>
    <mergeCell ref="B2:E2"/>
    <mergeCell ref="B3:E3"/>
    <mergeCell ref="B5:E5"/>
    <mergeCell ref="B12:E12"/>
    <mergeCell ref="B19:E19"/>
    <mergeCell ref="B26:E26"/>
    <mergeCell ref="B32:E3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2.0"/>
    <col customWidth="1" min="3" max="4" width="16.0"/>
    <col customWidth="1" min="5" max="5" width="20.0"/>
    <col customWidth="1" min="6" max="6" width="3.0"/>
    <col customWidth="1" min="7" max="26" width="8.71"/>
  </cols>
  <sheetData>
    <row r="1" ht="18.0" customHeight="1"/>
    <row r="2" ht="18.0" customHeight="1">
      <c r="B2" s="52" t="s">
        <v>201</v>
      </c>
      <c r="C2" s="2"/>
      <c r="D2" s="2"/>
      <c r="E2" s="3"/>
    </row>
    <row r="3" ht="18.0" customHeight="1">
      <c r="B3" s="4" t="s">
        <v>202</v>
      </c>
      <c r="C3" s="2"/>
      <c r="D3" s="2"/>
      <c r="E3" s="3"/>
    </row>
    <row r="4" ht="18.0" customHeight="1"/>
    <row r="5" ht="18.0" customHeight="1">
      <c r="B5" s="4" t="s">
        <v>154</v>
      </c>
      <c r="C5" s="2"/>
      <c r="D5" s="2"/>
      <c r="E5" s="3"/>
    </row>
    <row r="6" ht="19.5" customHeight="1">
      <c r="B6" s="7" t="s">
        <v>155</v>
      </c>
      <c r="C6" s="53">
        <f>'🏠 Painel Geral'!C7</f>
        <v>2500</v>
      </c>
      <c r="D6" s="7"/>
      <c r="E6" s="54" t="s">
        <v>156</v>
      </c>
    </row>
    <row r="7" ht="19.5" customHeight="1">
      <c r="B7" s="10" t="s">
        <v>157</v>
      </c>
      <c r="C7" s="53">
        <f>'🏠 Painel Geral'!C7</f>
        <v>2500</v>
      </c>
      <c r="D7" s="10"/>
      <c r="E7" s="55" t="s">
        <v>158</v>
      </c>
    </row>
    <row r="8" ht="19.5" customHeight="1">
      <c r="B8" s="7" t="s">
        <v>159</v>
      </c>
      <c r="C8" s="53">
        <f>'🏠 Painel Geral'!C9</f>
        <v>2000</v>
      </c>
      <c r="D8" s="7"/>
      <c r="E8" s="54" t="s">
        <v>160</v>
      </c>
    </row>
    <row r="9" ht="19.5" customHeight="1">
      <c r="B9" s="10" t="s">
        <v>10</v>
      </c>
      <c r="C9" s="53">
        <f>'🏠 Painel Geral'!C10</f>
        <v>800</v>
      </c>
      <c r="D9" s="10"/>
      <c r="E9" s="55" t="s">
        <v>161</v>
      </c>
    </row>
    <row r="10" ht="19.5" customHeight="1">
      <c r="B10" s="7" t="s">
        <v>162</v>
      </c>
      <c r="C10" s="53">
        <f>'🏠 Painel Geral'!C7*'🏠 Painel Geral'!C8*0.11</f>
        <v>550</v>
      </c>
      <c r="D10" s="7"/>
      <c r="E10" s="54" t="s">
        <v>163</v>
      </c>
    </row>
    <row r="11" ht="18.0" customHeight="1">
      <c r="B11" s="21" t="s">
        <v>164</v>
      </c>
      <c r="C11" s="22">
        <f>SUM(C6:C10)</f>
        <v>8350</v>
      </c>
    </row>
    <row r="12" ht="18.0" customHeight="1">
      <c r="B12" s="4" t="s">
        <v>165</v>
      </c>
      <c r="C12" s="2"/>
      <c r="D12" s="2"/>
      <c r="E12" s="3"/>
    </row>
    <row r="13" ht="18.0" customHeight="1">
      <c r="B13" s="7" t="s">
        <v>166</v>
      </c>
      <c r="C13" s="53">
        <f>'🏠 Painel Geral'!C13</f>
        <v>300</v>
      </c>
      <c r="D13" s="7"/>
      <c r="E13" s="54" t="s">
        <v>167</v>
      </c>
    </row>
    <row r="14" ht="18.0" customHeight="1">
      <c r="B14" s="10" t="s">
        <v>18</v>
      </c>
      <c r="C14" s="53">
        <f>'🏠 Painel Geral'!C14</f>
        <v>100</v>
      </c>
      <c r="D14" s="10"/>
      <c r="E14" s="55" t="s">
        <v>19</v>
      </c>
    </row>
    <row r="15" ht="18.0" customHeight="1">
      <c r="B15" s="7" t="s">
        <v>168</v>
      </c>
      <c r="C15" s="53">
        <f>'🏠 Painel Geral'!C15</f>
        <v>80</v>
      </c>
      <c r="D15" s="7"/>
      <c r="E15" s="54" t="s">
        <v>169</v>
      </c>
    </row>
    <row r="16" ht="18.0" customHeight="1">
      <c r="B16" s="10" t="s">
        <v>170</v>
      </c>
      <c r="C16" s="53">
        <f>'🏠 Painel Geral'!C16</f>
        <v>150</v>
      </c>
      <c r="D16" s="10"/>
      <c r="E16" s="55" t="s">
        <v>171</v>
      </c>
    </row>
    <row r="17" ht="18.0" customHeight="1">
      <c r="B17" s="7" t="s">
        <v>172</v>
      </c>
      <c r="C17" s="53">
        <f>'🏠 Painel Geral'!C17</f>
        <v>50</v>
      </c>
      <c r="D17" s="7"/>
      <c r="E17" s="54" t="s">
        <v>173</v>
      </c>
    </row>
    <row r="18" ht="18.0" customHeight="1">
      <c r="B18" s="21" t="s">
        <v>174</v>
      </c>
      <c r="C18" s="22">
        <f>SUM(C13:C17)</f>
        <v>680</v>
      </c>
    </row>
    <row r="19" ht="18.0" customHeight="1">
      <c r="B19" s="4" t="s">
        <v>175</v>
      </c>
      <c r="C19" s="2"/>
      <c r="D19" s="2"/>
      <c r="E19" s="3"/>
    </row>
    <row r="20" ht="18.0" customHeight="1">
      <c r="B20" s="7" t="s">
        <v>26</v>
      </c>
      <c r="C20" s="53">
        <f>'🏠 Painel Geral'!C18</f>
        <v>450</v>
      </c>
      <c r="D20" s="7"/>
      <c r="E20" s="54" t="s">
        <v>178</v>
      </c>
    </row>
    <row r="21" ht="18.0" customHeight="1">
      <c r="B21" s="10" t="s">
        <v>179</v>
      </c>
      <c r="C21" s="53">
        <f>'🏠 Painel Geral'!C19</f>
        <v>150</v>
      </c>
      <c r="D21" s="10"/>
      <c r="E21" s="55" t="s">
        <v>180</v>
      </c>
    </row>
    <row r="22" ht="18.0" customHeight="1">
      <c r="B22" s="7" t="s">
        <v>181</v>
      </c>
      <c r="C22" s="53">
        <f>'🏠 Painel Geral'!C20</f>
        <v>50</v>
      </c>
      <c r="D22" s="7"/>
      <c r="E22" s="54" t="s">
        <v>182</v>
      </c>
    </row>
    <row r="23" ht="18.0" customHeight="1">
      <c r="B23" s="10" t="s">
        <v>183</v>
      </c>
      <c r="C23" s="53">
        <f>'🏠 Painel Geral'!C21</f>
        <v>200</v>
      </c>
      <c r="D23" s="10"/>
      <c r="E23" s="55" t="s">
        <v>184</v>
      </c>
    </row>
    <row r="24" ht="18.0" customHeight="1">
      <c r="B24" s="21" t="s">
        <v>185</v>
      </c>
      <c r="C24" s="22">
        <f>SUM(C20:C23)</f>
        <v>850</v>
      </c>
    </row>
    <row r="25" ht="18.0" customHeight="1">
      <c r="B25" s="4" t="s">
        <v>186</v>
      </c>
      <c r="C25" s="2"/>
      <c r="D25" s="2"/>
      <c r="E25" s="3"/>
    </row>
    <row r="26" ht="18.0" customHeight="1">
      <c r="B26" s="7" t="s">
        <v>187</v>
      </c>
      <c r="C26" s="53">
        <f>'🏠 Painel Geral'!C11</f>
        <v>500</v>
      </c>
      <c r="D26" s="7"/>
      <c r="E26" s="54" t="s">
        <v>188</v>
      </c>
    </row>
    <row r="27" ht="18.0" customHeight="1">
      <c r="B27" s="10" t="s">
        <v>189</v>
      </c>
      <c r="C27" s="53">
        <f>'🏠 Painel Geral'!C12</f>
        <v>150</v>
      </c>
      <c r="D27" s="10"/>
      <c r="E27" s="55" t="s">
        <v>190</v>
      </c>
    </row>
    <row r="28" ht="18.0" customHeight="1">
      <c r="B28" s="21" t="s">
        <v>191</v>
      </c>
      <c r="C28" s="22">
        <f>SUM(C26:C27)</f>
        <v>650</v>
      </c>
    </row>
    <row r="29" ht="18.0" customHeight="1"/>
    <row r="30" ht="24.0" customHeight="1">
      <c r="B30" s="58" t="s">
        <v>203</v>
      </c>
      <c r="C30" s="59">
        <f>C11+C18+C24+C28</f>
        <v>10530</v>
      </c>
    </row>
    <row r="31" ht="18.0" customHeight="1">
      <c r="B31" s="12" t="s">
        <v>204</v>
      </c>
      <c r="C31" s="2"/>
      <c r="D31" s="2"/>
      <c r="E31" s="3"/>
    </row>
    <row r="32" ht="19.5" customHeight="1">
      <c r="B32" s="60" t="s">
        <v>205</v>
      </c>
      <c r="C32" s="2"/>
      <c r="D32" s="2"/>
      <c r="E32" s="3"/>
    </row>
    <row r="33" ht="19.5" customHeight="1">
      <c r="B33" s="61" t="s">
        <v>206</v>
      </c>
      <c r="C33" s="2"/>
      <c r="D33" s="2"/>
      <c r="E33" s="3"/>
    </row>
    <row r="34" ht="19.5" customHeight="1">
      <c r="B34" s="60" t="s">
        <v>207</v>
      </c>
      <c r="C34" s="2"/>
      <c r="D34" s="2"/>
      <c r="E34" s="3"/>
    </row>
    <row r="35" ht="19.5" customHeight="1">
      <c r="B35" s="61" t="s">
        <v>208</v>
      </c>
      <c r="C35" s="2"/>
      <c r="D35" s="2"/>
      <c r="E35" s="3"/>
    </row>
    <row r="36" ht="19.5" customHeight="1">
      <c r="B36" s="60" t="s">
        <v>209</v>
      </c>
      <c r="C36" s="2"/>
      <c r="D36" s="2"/>
      <c r="E36" s="3"/>
    </row>
    <row r="37" ht="18.0" customHeight="1"/>
    <row r="38" ht="18.0" customHeight="1">
      <c r="B38" s="62" t="s">
        <v>200</v>
      </c>
      <c r="C38" s="2"/>
      <c r="D38" s="2"/>
      <c r="E38" s="3"/>
    </row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32:E32"/>
    <mergeCell ref="B33:E33"/>
    <mergeCell ref="B34:E34"/>
    <mergeCell ref="B35:E35"/>
    <mergeCell ref="B36:E36"/>
    <mergeCell ref="B38:E38"/>
    <mergeCell ref="B2:E2"/>
    <mergeCell ref="B3:E3"/>
    <mergeCell ref="B5:E5"/>
    <mergeCell ref="B12:E12"/>
    <mergeCell ref="B19:E19"/>
    <mergeCell ref="B25:E25"/>
    <mergeCell ref="B31:E3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2.0"/>
    <col customWidth="1" min="3" max="4" width="16.0"/>
    <col customWidth="1" min="5" max="5" width="20.0"/>
    <col customWidth="1" min="6" max="6" width="3.0"/>
    <col customWidth="1" min="7" max="26" width="8.71"/>
  </cols>
  <sheetData>
    <row r="1" ht="18.0" customHeight="1"/>
    <row r="2" ht="18.0" customHeight="1">
      <c r="B2" s="52" t="s">
        <v>210</v>
      </c>
      <c r="C2" s="2"/>
      <c r="D2" s="2"/>
      <c r="E2" s="3"/>
    </row>
    <row r="3" ht="18.0" customHeight="1">
      <c r="B3" s="4" t="s">
        <v>211</v>
      </c>
      <c r="C3" s="2"/>
      <c r="D3" s="2"/>
      <c r="E3" s="3"/>
    </row>
    <row r="4" ht="18.0" customHeight="1"/>
    <row r="5" ht="18.0" customHeight="1">
      <c r="B5" s="4" t="s">
        <v>154</v>
      </c>
      <c r="C5" s="2"/>
      <c r="D5" s="2"/>
      <c r="E5" s="3"/>
    </row>
    <row r="6" ht="19.5" customHeight="1">
      <c r="B6" s="7" t="s">
        <v>155</v>
      </c>
      <c r="C6" s="53">
        <f>'🏠 Painel Geral'!C7</f>
        <v>2500</v>
      </c>
      <c r="D6" s="7"/>
      <c r="E6" s="54" t="s">
        <v>156</v>
      </c>
    </row>
    <row r="7" ht="19.5" customHeight="1">
      <c r="B7" s="10" t="s">
        <v>157</v>
      </c>
      <c r="C7" s="53">
        <f>'🏠 Painel Geral'!C7</f>
        <v>2500</v>
      </c>
      <c r="D7" s="10"/>
      <c r="E7" s="55" t="s">
        <v>158</v>
      </c>
    </row>
    <row r="8" ht="19.5" customHeight="1">
      <c r="B8" s="7" t="s">
        <v>159</v>
      </c>
      <c r="C8" s="53">
        <f>'🏠 Painel Geral'!C9</f>
        <v>2000</v>
      </c>
      <c r="D8" s="7"/>
      <c r="E8" s="54" t="s">
        <v>160</v>
      </c>
    </row>
    <row r="9" ht="19.5" customHeight="1">
      <c r="B9" s="10" t="s">
        <v>10</v>
      </c>
      <c r="C9" s="53">
        <f>'🏠 Painel Geral'!C10</f>
        <v>800</v>
      </c>
      <c r="D9" s="10"/>
      <c r="E9" s="55" t="s">
        <v>161</v>
      </c>
    </row>
    <row r="10" ht="19.5" customHeight="1">
      <c r="B10" s="7" t="s">
        <v>162</v>
      </c>
      <c r="C10" s="53">
        <f>'🏠 Painel Geral'!C7*'🏠 Painel Geral'!C8*0.11</f>
        <v>550</v>
      </c>
      <c r="D10" s="7"/>
      <c r="E10" s="54" t="s">
        <v>163</v>
      </c>
    </row>
    <row r="11" ht="18.0" customHeight="1">
      <c r="B11" s="21" t="s">
        <v>164</v>
      </c>
      <c r="C11" s="22">
        <f>SUM(C6:C10)</f>
        <v>8350</v>
      </c>
    </row>
    <row r="12" ht="18.0" customHeight="1">
      <c r="B12" s="4" t="s">
        <v>165</v>
      </c>
      <c r="C12" s="2"/>
      <c r="D12" s="2"/>
      <c r="E12" s="3"/>
    </row>
    <row r="13" ht="18.0" customHeight="1">
      <c r="B13" s="7" t="s">
        <v>166</v>
      </c>
      <c r="C13" s="53">
        <f>'🏠 Painel Geral'!C13</f>
        <v>300</v>
      </c>
      <c r="D13" s="7"/>
      <c r="E13" s="54" t="s">
        <v>167</v>
      </c>
    </row>
    <row r="14" ht="18.0" customHeight="1">
      <c r="B14" s="10" t="s">
        <v>18</v>
      </c>
      <c r="C14" s="53">
        <f>'🏠 Painel Geral'!C14</f>
        <v>100</v>
      </c>
      <c r="D14" s="10"/>
      <c r="E14" s="55" t="s">
        <v>19</v>
      </c>
    </row>
    <row r="15" ht="18.0" customHeight="1">
      <c r="B15" s="7" t="s">
        <v>168</v>
      </c>
      <c r="C15" s="53">
        <f>'🏠 Painel Geral'!C15</f>
        <v>80</v>
      </c>
      <c r="D15" s="7"/>
      <c r="E15" s="54" t="s">
        <v>169</v>
      </c>
    </row>
    <row r="16" ht="18.0" customHeight="1">
      <c r="B16" s="10" t="s">
        <v>170</v>
      </c>
      <c r="C16" s="53">
        <f>'🏠 Painel Geral'!C16</f>
        <v>150</v>
      </c>
      <c r="D16" s="10"/>
      <c r="E16" s="55" t="s">
        <v>171</v>
      </c>
    </row>
    <row r="17" ht="18.0" customHeight="1">
      <c r="B17" s="7" t="s">
        <v>172</v>
      </c>
      <c r="C17" s="53">
        <f>'🏠 Painel Geral'!C17</f>
        <v>50</v>
      </c>
      <c r="D17" s="7"/>
      <c r="E17" s="54" t="s">
        <v>173</v>
      </c>
    </row>
    <row r="18" ht="18.0" customHeight="1">
      <c r="B18" s="21" t="s">
        <v>174</v>
      </c>
      <c r="C18" s="22">
        <f>SUM(C13:C17)</f>
        <v>680</v>
      </c>
    </row>
    <row r="19" ht="18.0" customHeight="1">
      <c r="B19" s="4" t="s">
        <v>175</v>
      </c>
      <c r="C19" s="2"/>
      <c r="D19" s="2"/>
      <c r="E19" s="3"/>
    </row>
    <row r="20" ht="18.0" customHeight="1">
      <c r="B20" s="7" t="s">
        <v>26</v>
      </c>
      <c r="C20" s="53">
        <f>'🏠 Painel Geral'!C18</f>
        <v>450</v>
      </c>
      <c r="D20" s="7"/>
      <c r="E20" s="54" t="s">
        <v>178</v>
      </c>
    </row>
    <row r="21" ht="18.0" customHeight="1">
      <c r="B21" s="10" t="s">
        <v>179</v>
      </c>
      <c r="C21" s="53">
        <f>'🏠 Painel Geral'!C19</f>
        <v>150</v>
      </c>
      <c r="D21" s="10"/>
      <c r="E21" s="55" t="s">
        <v>180</v>
      </c>
    </row>
    <row r="22" ht="18.0" customHeight="1">
      <c r="B22" s="7" t="s">
        <v>181</v>
      </c>
      <c r="C22" s="53">
        <f>'🏠 Painel Geral'!C20</f>
        <v>50</v>
      </c>
      <c r="D22" s="7"/>
      <c r="E22" s="54" t="s">
        <v>182</v>
      </c>
    </row>
    <row r="23" ht="18.0" customHeight="1">
      <c r="B23" s="10" t="s">
        <v>183</v>
      </c>
      <c r="C23" s="53">
        <f>'🏠 Painel Geral'!C21</f>
        <v>200</v>
      </c>
      <c r="D23" s="10"/>
      <c r="E23" s="55" t="s">
        <v>184</v>
      </c>
    </row>
    <row r="24" ht="18.0" customHeight="1">
      <c r="B24" s="21" t="s">
        <v>185</v>
      </c>
      <c r="C24" s="22">
        <f>SUM(C20:C23)</f>
        <v>850</v>
      </c>
    </row>
    <row r="25" ht="18.0" customHeight="1">
      <c r="B25" s="4" t="s">
        <v>186</v>
      </c>
      <c r="C25" s="2"/>
      <c r="D25" s="2"/>
      <c r="E25" s="3"/>
    </row>
    <row r="26" ht="18.0" customHeight="1">
      <c r="B26" s="7" t="s">
        <v>187</v>
      </c>
      <c r="C26" s="53">
        <f>'🏠 Painel Geral'!C11</f>
        <v>500</v>
      </c>
      <c r="D26" s="7"/>
      <c r="E26" s="54" t="s">
        <v>188</v>
      </c>
    </row>
    <row r="27" ht="18.0" customHeight="1">
      <c r="B27" s="10" t="s">
        <v>189</v>
      </c>
      <c r="C27" s="53">
        <f>'🏠 Painel Geral'!C12</f>
        <v>150</v>
      </c>
      <c r="D27" s="10"/>
      <c r="E27" s="55" t="s">
        <v>190</v>
      </c>
    </row>
    <row r="28" ht="18.0" customHeight="1">
      <c r="B28" s="21" t="s">
        <v>191</v>
      </c>
      <c r="C28" s="22">
        <f>SUM(C26:C27)</f>
        <v>650</v>
      </c>
    </row>
    <row r="29" ht="18.0" customHeight="1"/>
    <row r="30" ht="24.0" customHeight="1">
      <c r="B30" s="58" t="s">
        <v>212</v>
      </c>
      <c r="C30" s="59">
        <f>C11+C18+C24+C28</f>
        <v>10530</v>
      </c>
    </row>
    <row r="31" ht="18.0" customHeight="1">
      <c r="B31" s="12" t="s">
        <v>213</v>
      </c>
      <c r="C31" s="2"/>
      <c r="D31" s="2"/>
      <c r="E31" s="3"/>
    </row>
    <row r="32" ht="19.5" customHeight="1">
      <c r="B32" s="60" t="s">
        <v>214</v>
      </c>
      <c r="C32" s="2"/>
      <c r="D32" s="2"/>
      <c r="E32" s="3"/>
    </row>
    <row r="33" ht="19.5" customHeight="1">
      <c r="B33" s="61" t="s">
        <v>215</v>
      </c>
      <c r="C33" s="2"/>
      <c r="D33" s="2"/>
      <c r="E33" s="3"/>
    </row>
    <row r="34" ht="19.5" customHeight="1">
      <c r="B34" s="60" t="s">
        <v>216</v>
      </c>
      <c r="C34" s="2"/>
      <c r="D34" s="2"/>
      <c r="E34" s="3"/>
    </row>
    <row r="35" ht="19.5" customHeight="1">
      <c r="B35" s="61" t="s">
        <v>217</v>
      </c>
      <c r="C35" s="2"/>
      <c r="D35" s="2"/>
      <c r="E35" s="3"/>
    </row>
    <row r="36" ht="18.0" customHeight="1"/>
    <row r="37" ht="18.0" customHeight="1">
      <c r="B37" s="62" t="s">
        <v>200</v>
      </c>
      <c r="C37" s="2"/>
      <c r="D37" s="2"/>
      <c r="E37" s="3"/>
    </row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32:E32"/>
    <mergeCell ref="B33:E33"/>
    <mergeCell ref="B34:E34"/>
    <mergeCell ref="B35:E35"/>
    <mergeCell ref="B37:E37"/>
    <mergeCell ref="B2:E2"/>
    <mergeCell ref="B3:E3"/>
    <mergeCell ref="B5:E5"/>
    <mergeCell ref="B12:E12"/>
    <mergeCell ref="B19:E19"/>
    <mergeCell ref="B25:E25"/>
    <mergeCell ref="B31:E3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2.0"/>
    <col customWidth="1" min="3" max="4" width="16.0"/>
    <col customWidth="1" min="5" max="5" width="20.0"/>
    <col customWidth="1" min="6" max="6" width="3.0"/>
    <col customWidth="1" min="7" max="26" width="8.71"/>
  </cols>
  <sheetData>
    <row r="1" ht="18.0" customHeight="1"/>
    <row r="2" ht="18.0" customHeight="1">
      <c r="B2" s="52" t="s">
        <v>218</v>
      </c>
      <c r="C2" s="2"/>
      <c r="D2" s="2"/>
      <c r="E2" s="3"/>
    </row>
    <row r="3" ht="18.0" customHeight="1">
      <c r="B3" s="4" t="s">
        <v>219</v>
      </c>
      <c r="C3" s="2"/>
      <c r="D3" s="2"/>
      <c r="E3" s="3"/>
    </row>
    <row r="4" ht="18.0" customHeight="1"/>
    <row r="5" ht="18.0" customHeight="1">
      <c r="B5" s="4" t="s">
        <v>154</v>
      </c>
      <c r="C5" s="2"/>
      <c r="D5" s="2"/>
      <c r="E5" s="3"/>
    </row>
    <row r="6" ht="19.5" customHeight="1">
      <c r="B6" s="7" t="s">
        <v>155</v>
      </c>
      <c r="C6" s="53">
        <f>'🏠 Painel Geral'!C7</f>
        <v>2500</v>
      </c>
      <c r="D6" s="7"/>
      <c r="E6" s="54" t="s">
        <v>156</v>
      </c>
    </row>
    <row r="7" ht="19.5" customHeight="1">
      <c r="B7" s="10" t="s">
        <v>157</v>
      </c>
      <c r="C7" s="53">
        <f>'🏠 Painel Geral'!C7</f>
        <v>2500</v>
      </c>
      <c r="D7" s="10"/>
      <c r="E7" s="55" t="s">
        <v>158</v>
      </c>
    </row>
    <row r="8" ht="19.5" customHeight="1">
      <c r="B8" s="7" t="s">
        <v>159</v>
      </c>
      <c r="C8" s="53">
        <f>'🏠 Painel Geral'!C9</f>
        <v>2000</v>
      </c>
      <c r="D8" s="7"/>
      <c r="E8" s="54" t="s">
        <v>160</v>
      </c>
    </row>
    <row r="9" ht="19.5" customHeight="1">
      <c r="B9" s="10" t="s">
        <v>10</v>
      </c>
      <c r="C9" s="53">
        <f>'🏠 Painel Geral'!C10</f>
        <v>800</v>
      </c>
      <c r="D9" s="10"/>
      <c r="E9" s="55" t="s">
        <v>161</v>
      </c>
    </row>
    <row r="10" ht="19.5" customHeight="1">
      <c r="B10" s="7" t="s">
        <v>162</v>
      </c>
      <c r="C10" s="53">
        <f>'🏠 Painel Geral'!C7*'🏠 Painel Geral'!C8*0.11</f>
        <v>550</v>
      </c>
      <c r="D10" s="7"/>
      <c r="E10" s="54" t="s">
        <v>163</v>
      </c>
    </row>
    <row r="11" ht="18.0" customHeight="1">
      <c r="B11" s="21" t="s">
        <v>164</v>
      </c>
      <c r="C11" s="22">
        <f>SUM(C6:C10)</f>
        <v>8350</v>
      </c>
    </row>
    <row r="12" ht="18.0" customHeight="1">
      <c r="B12" s="4" t="s">
        <v>165</v>
      </c>
      <c r="C12" s="2"/>
      <c r="D12" s="2"/>
      <c r="E12" s="3"/>
    </row>
    <row r="13" ht="18.0" customHeight="1">
      <c r="B13" s="7" t="s">
        <v>166</v>
      </c>
      <c r="C13" s="53">
        <f>'🏠 Painel Geral'!C13</f>
        <v>300</v>
      </c>
      <c r="D13" s="7"/>
      <c r="E13" s="54" t="s">
        <v>167</v>
      </c>
    </row>
    <row r="14" ht="18.0" customHeight="1">
      <c r="B14" s="10" t="s">
        <v>18</v>
      </c>
      <c r="C14" s="53">
        <f>'🏠 Painel Geral'!C14</f>
        <v>100</v>
      </c>
      <c r="D14" s="10"/>
      <c r="E14" s="55" t="s">
        <v>19</v>
      </c>
    </row>
    <row r="15" ht="18.0" customHeight="1">
      <c r="B15" s="7" t="s">
        <v>168</v>
      </c>
      <c r="C15" s="53">
        <f>'🏠 Painel Geral'!C15</f>
        <v>80</v>
      </c>
      <c r="D15" s="7"/>
      <c r="E15" s="54" t="s">
        <v>169</v>
      </c>
    </row>
    <row r="16" ht="18.0" customHeight="1">
      <c r="B16" s="10" t="s">
        <v>170</v>
      </c>
      <c r="C16" s="53">
        <f>'🏠 Painel Geral'!C16</f>
        <v>150</v>
      </c>
      <c r="D16" s="10"/>
      <c r="E16" s="55" t="s">
        <v>171</v>
      </c>
    </row>
    <row r="17" ht="18.0" customHeight="1">
      <c r="B17" s="7" t="s">
        <v>172</v>
      </c>
      <c r="C17" s="53">
        <f>'🏠 Painel Geral'!C17</f>
        <v>50</v>
      </c>
      <c r="D17" s="7"/>
      <c r="E17" s="54" t="s">
        <v>173</v>
      </c>
    </row>
    <row r="18" ht="18.0" customHeight="1">
      <c r="B18" s="21" t="s">
        <v>174</v>
      </c>
      <c r="C18" s="22">
        <f>SUM(C13:C17)</f>
        <v>680</v>
      </c>
    </row>
    <row r="19" ht="18.0" customHeight="1">
      <c r="B19" s="4" t="s">
        <v>175</v>
      </c>
      <c r="C19" s="2"/>
      <c r="D19" s="2"/>
      <c r="E19" s="3"/>
    </row>
    <row r="20" ht="18.0" customHeight="1">
      <c r="B20" s="7" t="s">
        <v>26</v>
      </c>
      <c r="C20" s="53">
        <f>'🏠 Painel Geral'!C18</f>
        <v>450</v>
      </c>
      <c r="D20" s="7"/>
      <c r="E20" s="54" t="s">
        <v>178</v>
      </c>
    </row>
    <row r="21" ht="18.0" customHeight="1">
      <c r="B21" s="10" t="s">
        <v>179</v>
      </c>
      <c r="C21" s="53">
        <f>'🏠 Painel Geral'!C19</f>
        <v>150</v>
      </c>
      <c r="D21" s="10"/>
      <c r="E21" s="55" t="s">
        <v>180</v>
      </c>
    </row>
    <row r="22" ht="18.0" customHeight="1">
      <c r="B22" s="7" t="s">
        <v>181</v>
      </c>
      <c r="C22" s="53">
        <f>'🏠 Painel Geral'!C20</f>
        <v>50</v>
      </c>
      <c r="D22" s="7"/>
      <c r="E22" s="54" t="s">
        <v>182</v>
      </c>
    </row>
    <row r="23" ht="18.0" customHeight="1">
      <c r="B23" s="10" t="s">
        <v>183</v>
      </c>
      <c r="C23" s="53">
        <f>'🏠 Painel Geral'!C21</f>
        <v>200</v>
      </c>
      <c r="D23" s="10"/>
      <c r="E23" s="55" t="s">
        <v>184</v>
      </c>
    </row>
    <row r="24" ht="18.0" customHeight="1">
      <c r="B24" s="21" t="s">
        <v>185</v>
      </c>
      <c r="C24" s="22">
        <f>SUM(C20:C23)</f>
        <v>850</v>
      </c>
    </row>
    <row r="25" ht="18.0" customHeight="1">
      <c r="B25" s="4" t="s">
        <v>186</v>
      </c>
      <c r="C25" s="2"/>
      <c r="D25" s="2"/>
      <c r="E25" s="3"/>
    </row>
    <row r="26" ht="18.0" customHeight="1">
      <c r="B26" s="7" t="s">
        <v>187</v>
      </c>
      <c r="C26" s="53">
        <f>'🏠 Painel Geral'!C11</f>
        <v>500</v>
      </c>
      <c r="D26" s="7"/>
      <c r="E26" s="54" t="s">
        <v>188</v>
      </c>
    </row>
    <row r="27" ht="18.0" customHeight="1">
      <c r="B27" s="10" t="s">
        <v>189</v>
      </c>
      <c r="C27" s="53">
        <f>'🏠 Painel Geral'!C12</f>
        <v>150</v>
      </c>
      <c r="D27" s="10"/>
      <c r="E27" s="55" t="s">
        <v>190</v>
      </c>
    </row>
    <row r="28" ht="18.0" customHeight="1">
      <c r="B28" s="21" t="s">
        <v>191</v>
      </c>
      <c r="C28" s="22">
        <f>SUM(C26:C27)</f>
        <v>650</v>
      </c>
    </row>
    <row r="29" ht="18.0" customHeight="1"/>
    <row r="30" ht="24.0" customHeight="1">
      <c r="B30" s="58" t="s">
        <v>220</v>
      </c>
      <c r="C30" s="59">
        <f>C11+C18+C24+C28</f>
        <v>10530</v>
      </c>
    </row>
    <row r="31" ht="18.0" customHeight="1">
      <c r="B31" s="12" t="s">
        <v>221</v>
      </c>
      <c r="C31" s="2"/>
      <c r="D31" s="2"/>
      <c r="E31" s="3"/>
    </row>
    <row r="32" ht="19.5" customHeight="1">
      <c r="B32" s="60" t="s">
        <v>222</v>
      </c>
      <c r="C32" s="2"/>
      <c r="D32" s="2"/>
      <c r="E32" s="3"/>
    </row>
    <row r="33" ht="19.5" customHeight="1">
      <c r="B33" s="61" t="s">
        <v>223</v>
      </c>
      <c r="C33" s="2"/>
      <c r="D33" s="2"/>
      <c r="E33" s="3"/>
    </row>
    <row r="34" ht="19.5" customHeight="1">
      <c r="B34" s="60" t="s">
        <v>224</v>
      </c>
      <c r="C34" s="2"/>
      <c r="D34" s="2"/>
      <c r="E34" s="3"/>
    </row>
    <row r="35" ht="19.5" customHeight="1">
      <c r="B35" s="61" t="s">
        <v>225</v>
      </c>
      <c r="C35" s="2"/>
      <c r="D35" s="2"/>
      <c r="E35" s="3"/>
    </row>
    <row r="36" ht="18.0" customHeight="1"/>
    <row r="37" ht="18.0" customHeight="1">
      <c r="B37" s="62" t="s">
        <v>200</v>
      </c>
      <c r="C37" s="2"/>
      <c r="D37" s="2"/>
      <c r="E37" s="3"/>
    </row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32:E32"/>
    <mergeCell ref="B33:E33"/>
    <mergeCell ref="B34:E34"/>
    <mergeCell ref="B35:E35"/>
    <mergeCell ref="B37:E37"/>
    <mergeCell ref="B2:E2"/>
    <mergeCell ref="B3:E3"/>
    <mergeCell ref="B5:E5"/>
    <mergeCell ref="B12:E12"/>
    <mergeCell ref="B19:E19"/>
    <mergeCell ref="B25:E25"/>
    <mergeCell ref="B31:E3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2.0"/>
    <col customWidth="1" min="3" max="4" width="16.0"/>
    <col customWidth="1" min="5" max="5" width="20.0"/>
    <col customWidth="1" min="6" max="6" width="3.0"/>
    <col customWidth="1" min="7" max="26" width="8.71"/>
  </cols>
  <sheetData>
    <row r="1" ht="18.0" customHeight="1"/>
    <row r="2" ht="18.0" customHeight="1">
      <c r="B2" s="52" t="s">
        <v>226</v>
      </c>
      <c r="C2" s="2"/>
      <c r="D2" s="2"/>
      <c r="E2" s="3"/>
    </row>
    <row r="3" ht="18.0" customHeight="1">
      <c r="B3" s="4" t="s">
        <v>227</v>
      </c>
      <c r="C3" s="2"/>
      <c r="D3" s="2"/>
      <c r="E3" s="3"/>
    </row>
    <row r="4" ht="18.0" customHeight="1"/>
    <row r="5" ht="18.0" customHeight="1">
      <c r="B5" s="4" t="s">
        <v>154</v>
      </c>
      <c r="C5" s="2"/>
      <c r="D5" s="2"/>
      <c r="E5" s="3"/>
    </row>
    <row r="6" ht="19.5" customHeight="1">
      <c r="B6" s="7" t="s">
        <v>155</v>
      </c>
      <c r="C6" s="53">
        <f>'🏠 Painel Geral'!C7</f>
        <v>2500</v>
      </c>
      <c r="D6" s="7"/>
      <c r="E6" s="54" t="s">
        <v>156</v>
      </c>
    </row>
    <row r="7" ht="19.5" customHeight="1">
      <c r="B7" s="10" t="s">
        <v>157</v>
      </c>
      <c r="C7" s="53">
        <f>'🏠 Painel Geral'!C7</f>
        <v>2500</v>
      </c>
      <c r="D7" s="10"/>
      <c r="E7" s="55" t="s">
        <v>158</v>
      </c>
    </row>
    <row r="8" ht="19.5" customHeight="1">
      <c r="B8" s="7" t="s">
        <v>159</v>
      </c>
      <c r="C8" s="53">
        <f>'🏠 Painel Geral'!C9</f>
        <v>2000</v>
      </c>
      <c r="D8" s="7"/>
      <c r="E8" s="54" t="s">
        <v>160</v>
      </c>
    </row>
    <row r="9" ht="19.5" customHeight="1">
      <c r="B9" s="10" t="s">
        <v>10</v>
      </c>
      <c r="C9" s="53">
        <f>'🏠 Painel Geral'!C10</f>
        <v>800</v>
      </c>
      <c r="D9" s="10"/>
      <c r="E9" s="55" t="s">
        <v>161</v>
      </c>
    </row>
    <row r="10" ht="19.5" customHeight="1">
      <c r="B10" s="7" t="s">
        <v>162</v>
      </c>
      <c r="C10" s="53">
        <f>'🏠 Painel Geral'!C7*'🏠 Painel Geral'!C8*0.11</f>
        <v>550</v>
      </c>
      <c r="D10" s="7"/>
      <c r="E10" s="54" t="s">
        <v>163</v>
      </c>
    </row>
    <row r="11" ht="18.0" customHeight="1">
      <c r="B11" s="21" t="s">
        <v>164</v>
      </c>
      <c r="C11" s="22">
        <f>SUM(C6:C10)</f>
        <v>8350</v>
      </c>
    </row>
    <row r="12" ht="18.0" customHeight="1">
      <c r="B12" s="4" t="s">
        <v>165</v>
      </c>
      <c r="C12" s="2"/>
      <c r="D12" s="2"/>
      <c r="E12" s="3"/>
    </row>
    <row r="13" ht="18.0" customHeight="1">
      <c r="B13" s="7" t="s">
        <v>166</v>
      </c>
      <c r="C13" s="53">
        <f>'🏠 Painel Geral'!C13</f>
        <v>300</v>
      </c>
      <c r="D13" s="7"/>
      <c r="E13" s="54" t="s">
        <v>167</v>
      </c>
    </row>
    <row r="14" ht="18.0" customHeight="1">
      <c r="B14" s="10" t="s">
        <v>18</v>
      </c>
      <c r="C14" s="53">
        <f>'🏠 Painel Geral'!C14</f>
        <v>100</v>
      </c>
      <c r="D14" s="10"/>
      <c r="E14" s="55" t="s">
        <v>19</v>
      </c>
    </row>
    <row r="15" ht="18.0" customHeight="1">
      <c r="B15" s="7" t="s">
        <v>168</v>
      </c>
      <c r="C15" s="53">
        <f>'🏠 Painel Geral'!C15</f>
        <v>80</v>
      </c>
      <c r="D15" s="7"/>
      <c r="E15" s="54" t="s">
        <v>169</v>
      </c>
    </row>
    <row r="16" ht="18.0" customHeight="1">
      <c r="B16" s="10" t="s">
        <v>170</v>
      </c>
      <c r="C16" s="53">
        <f>'🏠 Painel Geral'!C16</f>
        <v>150</v>
      </c>
      <c r="D16" s="10"/>
      <c r="E16" s="55" t="s">
        <v>171</v>
      </c>
    </row>
    <row r="17" ht="18.0" customHeight="1">
      <c r="B17" s="7" t="s">
        <v>172</v>
      </c>
      <c r="C17" s="53">
        <f>'🏠 Painel Geral'!C17</f>
        <v>50</v>
      </c>
      <c r="D17" s="7"/>
      <c r="E17" s="54" t="s">
        <v>173</v>
      </c>
    </row>
    <row r="18" ht="18.0" customHeight="1">
      <c r="B18" s="21" t="s">
        <v>174</v>
      </c>
      <c r="C18" s="22">
        <f>SUM(C13:C17)</f>
        <v>680</v>
      </c>
    </row>
    <row r="19" ht="18.0" customHeight="1">
      <c r="B19" s="4" t="s">
        <v>175</v>
      </c>
      <c r="C19" s="2"/>
      <c r="D19" s="2"/>
      <c r="E19" s="3"/>
    </row>
    <row r="20" ht="18.0" customHeight="1">
      <c r="B20" s="7" t="s">
        <v>26</v>
      </c>
      <c r="C20" s="53">
        <f>'🏠 Painel Geral'!C18</f>
        <v>450</v>
      </c>
      <c r="D20" s="7"/>
      <c r="E20" s="54" t="s">
        <v>178</v>
      </c>
    </row>
    <row r="21" ht="18.0" customHeight="1">
      <c r="B21" s="10" t="s">
        <v>179</v>
      </c>
      <c r="C21" s="53">
        <f>'🏠 Painel Geral'!C19</f>
        <v>150</v>
      </c>
      <c r="D21" s="10"/>
      <c r="E21" s="55" t="s">
        <v>180</v>
      </c>
    </row>
    <row r="22" ht="18.0" customHeight="1">
      <c r="B22" s="7" t="s">
        <v>181</v>
      </c>
      <c r="C22" s="53">
        <f>'🏠 Painel Geral'!C20</f>
        <v>50</v>
      </c>
      <c r="D22" s="7"/>
      <c r="E22" s="54" t="s">
        <v>182</v>
      </c>
    </row>
    <row r="23" ht="18.0" customHeight="1">
      <c r="B23" s="10" t="s">
        <v>183</v>
      </c>
      <c r="C23" s="53">
        <f>'🏠 Painel Geral'!C21</f>
        <v>200</v>
      </c>
      <c r="D23" s="10"/>
      <c r="E23" s="55" t="s">
        <v>184</v>
      </c>
    </row>
    <row r="24" ht="18.0" customHeight="1">
      <c r="B24" s="21" t="s">
        <v>185</v>
      </c>
      <c r="C24" s="22">
        <f>SUM(C20:C23)</f>
        <v>850</v>
      </c>
    </row>
    <row r="25" ht="18.0" customHeight="1">
      <c r="B25" s="4" t="s">
        <v>186</v>
      </c>
      <c r="C25" s="2"/>
      <c r="D25" s="2"/>
      <c r="E25" s="3"/>
    </row>
    <row r="26" ht="18.0" customHeight="1">
      <c r="B26" s="7" t="s">
        <v>187</v>
      </c>
      <c r="C26" s="53">
        <f>'🏠 Painel Geral'!C11</f>
        <v>500</v>
      </c>
      <c r="D26" s="7"/>
      <c r="E26" s="54" t="s">
        <v>188</v>
      </c>
    </row>
    <row r="27" ht="18.0" customHeight="1">
      <c r="B27" s="10" t="s">
        <v>189</v>
      </c>
      <c r="C27" s="53">
        <f>'🏠 Painel Geral'!C12</f>
        <v>150</v>
      </c>
      <c r="D27" s="10"/>
      <c r="E27" s="55" t="s">
        <v>190</v>
      </c>
    </row>
    <row r="28" ht="18.0" customHeight="1">
      <c r="B28" s="21" t="s">
        <v>191</v>
      </c>
      <c r="C28" s="22">
        <f>SUM(C26:C27)</f>
        <v>650</v>
      </c>
    </row>
    <row r="29" ht="18.0" customHeight="1"/>
    <row r="30" ht="24.0" customHeight="1">
      <c r="B30" s="58" t="s">
        <v>228</v>
      </c>
      <c r="C30" s="59">
        <f>C11+C18+C24+C28</f>
        <v>10530</v>
      </c>
    </row>
    <row r="31" ht="18.0" customHeight="1">
      <c r="B31" s="12" t="s">
        <v>229</v>
      </c>
      <c r="C31" s="2"/>
      <c r="D31" s="2"/>
      <c r="E31" s="3"/>
    </row>
    <row r="32" ht="19.5" customHeight="1">
      <c r="B32" s="60" t="s">
        <v>230</v>
      </c>
      <c r="C32" s="2"/>
      <c r="D32" s="2"/>
      <c r="E32" s="3"/>
    </row>
    <row r="33" ht="19.5" customHeight="1">
      <c r="B33" s="61" t="s">
        <v>231</v>
      </c>
      <c r="C33" s="2"/>
      <c r="D33" s="2"/>
      <c r="E33" s="3"/>
    </row>
    <row r="34" ht="19.5" customHeight="1">
      <c r="B34" s="60" t="s">
        <v>232</v>
      </c>
      <c r="C34" s="2"/>
      <c r="D34" s="2"/>
      <c r="E34" s="3"/>
    </row>
    <row r="35" ht="19.5" customHeight="1">
      <c r="B35" s="61" t="s">
        <v>233</v>
      </c>
      <c r="C35" s="2"/>
      <c r="D35" s="2"/>
      <c r="E35" s="3"/>
    </row>
    <row r="36" ht="18.0" customHeight="1"/>
    <row r="37" ht="18.0" customHeight="1">
      <c r="B37" s="62" t="s">
        <v>200</v>
      </c>
      <c r="C37" s="2"/>
      <c r="D37" s="2"/>
      <c r="E37" s="3"/>
    </row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32:E32"/>
    <mergeCell ref="B33:E33"/>
    <mergeCell ref="B34:E34"/>
    <mergeCell ref="B35:E35"/>
    <mergeCell ref="B37:E37"/>
    <mergeCell ref="B2:E2"/>
    <mergeCell ref="B3:E3"/>
    <mergeCell ref="B5:E5"/>
    <mergeCell ref="B12:E12"/>
    <mergeCell ref="B19:E19"/>
    <mergeCell ref="B25:E25"/>
    <mergeCell ref="B31:E3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2.0"/>
    <col customWidth="1" min="3" max="4" width="16.0"/>
    <col customWidth="1" min="5" max="5" width="20.0"/>
    <col customWidth="1" min="6" max="6" width="3.0"/>
    <col customWidth="1" min="7" max="26" width="8.71"/>
  </cols>
  <sheetData>
    <row r="1" ht="18.0" customHeight="1"/>
    <row r="2" ht="18.0" customHeight="1">
      <c r="B2" s="52" t="s">
        <v>234</v>
      </c>
      <c r="C2" s="2"/>
      <c r="D2" s="2"/>
      <c r="E2" s="3"/>
    </row>
    <row r="3" ht="18.0" customHeight="1">
      <c r="B3" s="4" t="s">
        <v>235</v>
      </c>
      <c r="C3" s="2"/>
      <c r="D3" s="2"/>
      <c r="E3" s="3"/>
    </row>
    <row r="4" ht="18.0" customHeight="1"/>
    <row r="5" ht="18.0" customHeight="1">
      <c r="B5" s="4" t="s">
        <v>154</v>
      </c>
      <c r="C5" s="2"/>
      <c r="D5" s="2"/>
      <c r="E5" s="3"/>
    </row>
    <row r="6" ht="19.5" customHeight="1">
      <c r="B6" s="7" t="s">
        <v>155</v>
      </c>
      <c r="C6" s="53">
        <f>'🏠 Painel Geral'!C7</f>
        <v>2500</v>
      </c>
      <c r="D6" s="7"/>
      <c r="E6" s="54" t="s">
        <v>156</v>
      </c>
    </row>
    <row r="7" ht="19.5" customHeight="1">
      <c r="B7" s="10" t="s">
        <v>157</v>
      </c>
      <c r="C7" s="53">
        <f>'🏠 Painel Geral'!C7</f>
        <v>2500</v>
      </c>
      <c r="D7" s="10"/>
      <c r="E7" s="55" t="s">
        <v>158</v>
      </c>
    </row>
    <row r="8" ht="19.5" customHeight="1">
      <c r="B8" s="7" t="s">
        <v>159</v>
      </c>
      <c r="C8" s="53">
        <f>'🏠 Painel Geral'!C9</f>
        <v>2000</v>
      </c>
      <c r="D8" s="7"/>
      <c r="E8" s="54" t="s">
        <v>160</v>
      </c>
    </row>
    <row r="9" ht="19.5" customHeight="1">
      <c r="B9" s="10" t="s">
        <v>10</v>
      </c>
      <c r="C9" s="53">
        <f>'🏠 Painel Geral'!C10</f>
        <v>800</v>
      </c>
      <c r="D9" s="10"/>
      <c r="E9" s="55" t="s">
        <v>161</v>
      </c>
    </row>
    <row r="10" ht="19.5" customHeight="1">
      <c r="B10" s="7" t="s">
        <v>162</v>
      </c>
      <c r="C10" s="53">
        <f>'🏠 Painel Geral'!C7*'🏠 Painel Geral'!C8*0.11</f>
        <v>550</v>
      </c>
      <c r="D10" s="7"/>
      <c r="E10" s="54" t="s">
        <v>163</v>
      </c>
    </row>
    <row r="11" ht="18.0" customHeight="1">
      <c r="B11" s="21" t="s">
        <v>164</v>
      </c>
      <c r="C11" s="22">
        <f>SUM(C6:C10)</f>
        <v>8350</v>
      </c>
    </row>
    <row r="12" ht="18.0" customHeight="1">
      <c r="B12" s="4" t="s">
        <v>165</v>
      </c>
      <c r="C12" s="2"/>
      <c r="D12" s="2"/>
      <c r="E12" s="3"/>
    </row>
    <row r="13" ht="18.0" customHeight="1">
      <c r="B13" s="7" t="s">
        <v>166</v>
      </c>
      <c r="C13" s="53">
        <f>'🏠 Painel Geral'!C13</f>
        <v>300</v>
      </c>
      <c r="D13" s="7"/>
      <c r="E13" s="54" t="s">
        <v>167</v>
      </c>
    </row>
    <row r="14" ht="18.0" customHeight="1">
      <c r="B14" s="10" t="s">
        <v>18</v>
      </c>
      <c r="C14" s="53">
        <f>'🏠 Painel Geral'!C14</f>
        <v>100</v>
      </c>
      <c r="D14" s="10"/>
      <c r="E14" s="55" t="s">
        <v>19</v>
      </c>
    </row>
    <row r="15" ht="18.0" customHeight="1">
      <c r="B15" s="7" t="s">
        <v>168</v>
      </c>
      <c r="C15" s="53">
        <f>'🏠 Painel Geral'!C15</f>
        <v>80</v>
      </c>
      <c r="D15" s="7"/>
      <c r="E15" s="54" t="s">
        <v>169</v>
      </c>
    </row>
    <row r="16" ht="18.0" customHeight="1">
      <c r="B16" s="10" t="s">
        <v>170</v>
      </c>
      <c r="C16" s="53">
        <f>'🏠 Painel Geral'!C16</f>
        <v>150</v>
      </c>
      <c r="D16" s="10"/>
      <c r="E16" s="55" t="s">
        <v>171</v>
      </c>
    </row>
    <row r="17" ht="18.0" customHeight="1">
      <c r="B17" s="7" t="s">
        <v>172</v>
      </c>
      <c r="C17" s="53">
        <f>'🏠 Painel Geral'!C17</f>
        <v>50</v>
      </c>
      <c r="D17" s="7"/>
      <c r="E17" s="54" t="s">
        <v>173</v>
      </c>
    </row>
    <row r="18" ht="18.0" customHeight="1">
      <c r="B18" s="21" t="s">
        <v>174</v>
      </c>
      <c r="C18" s="22">
        <f>SUM(C13:C17)</f>
        <v>680</v>
      </c>
    </row>
    <row r="19" ht="18.0" customHeight="1">
      <c r="B19" s="4" t="s">
        <v>175</v>
      </c>
      <c r="C19" s="2"/>
      <c r="D19" s="2"/>
      <c r="E19" s="3"/>
    </row>
    <row r="20" ht="18.0" customHeight="1">
      <c r="B20" s="7" t="s">
        <v>26</v>
      </c>
      <c r="C20" s="53">
        <f>'🏠 Painel Geral'!C18</f>
        <v>450</v>
      </c>
      <c r="D20" s="7"/>
      <c r="E20" s="54" t="s">
        <v>178</v>
      </c>
    </row>
    <row r="21" ht="18.0" customHeight="1">
      <c r="B21" s="10" t="s">
        <v>179</v>
      </c>
      <c r="C21" s="53">
        <f>'🏠 Painel Geral'!C19</f>
        <v>150</v>
      </c>
      <c r="D21" s="10"/>
      <c r="E21" s="55" t="s">
        <v>180</v>
      </c>
    </row>
    <row r="22" ht="18.0" customHeight="1">
      <c r="B22" s="7" t="s">
        <v>181</v>
      </c>
      <c r="C22" s="53">
        <f>'🏠 Painel Geral'!C20</f>
        <v>50</v>
      </c>
      <c r="D22" s="7"/>
      <c r="E22" s="54" t="s">
        <v>182</v>
      </c>
    </row>
    <row r="23" ht="18.0" customHeight="1">
      <c r="B23" s="10" t="s">
        <v>183</v>
      </c>
      <c r="C23" s="53">
        <f>'🏠 Painel Geral'!C21</f>
        <v>200</v>
      </c>
      <c r="D23" s="10"/>
      <c r="E23" s="55" t="s">
        <v>184</v>
      </c>
    </row>
    <row r="24" ht="18.0" customHeight="1">
      <c r="B24" s="21" t="s">
        <v>185</v>
      </c>
      <c r="C24" s="22">
        <f>SUM(C20:C23)</f>
        <v>850</v>
      </c>
    </row>
    <row r="25" ht="18.0" customHeight="1">
      <c r="B25" s="4" t="s">
        <v>186</v>
      </c>
      <c r="C25" s="2"/>
      <c r="D25" s="2"/>
      <c r="E25" s="3"/>
    </row>
    <row r="26" ht="18.0" customHeight="1">
      <c r="B26" s="7" t="s">
        <v>187</v>
      </c>
      <c r="C26" s="53">
        <f>'🏠 Painel Geral'!C11</f>
        <v>500</v>
      </c>
      <c r="D26" s="7"/>
      <c r="E26" s="54" t="s">
        <v>188</v>
      </c>
    </row>
    <row r="27" ht="18.0" customHeight="1">
      <c r="B27" s="10" t="s">
        <v>189</v>
      </c>
      <c r="C27" s="53">
        <f>'🏠 Painel Geral'!C12</f>
        <v>150</v>
      </c>
      <c r="D27" s="10"/>
      <c r="E27" s="55" t="s">
        <v>190</v>
      </c>
    </row>
    <row r="28" ht="18.0" customHeight="1">
      <c r="B28" s="21" t="s">
        <v>191</v>
      </c>
      <c r="C28" s="22">
        <f>SUM(C26:C27)</f>
        <v>650</v>
      </c>
    </row>
    <row r="29" ht="18.0" customHeight="1"/>
    <row r="30" ht="24.0" customHeight="1">
      <c r="B30" s="58" t="s">
        <v>236</v>
      </c>
      <c r="C30" s="59">
        <f>C11+C18+C24+C28</f>
        <v>10530</v>
      </c>
    </row>
    <row r="31" ht="18.0" customHeight="1">
      <c r="B31" s="12" t="s">
        <v>237</v>
      </c>
      <c r="C31" s="2"/>
      <c r="D31" s="2"/>
      <c r="E31" s="3"/>
    </row>
    <row r="32" ht="19.5" customHeight="1">
      <c r="B32" s="60" t="s">
        <v>238</v>
      </c>
      <c r="C32" s="2"/>
      <c r="D32" s="2"/>
      <c r="E32" s="3"/>
    </row>
    <row r="33" ht="19.5" customHeight="1">
      <c r="B33" s="61" t="s">
        <v>239</v>
      </c>
      <c r="C33" s="2"/>
      <c r="D33" s="2"/>
      <c r="E33" s="3"/>
    </row>
    <row r="34" ht="19.5" customHeight="1">
      <c r="B34" s="60" t="s">
        <v>240</v>
      </c>
      <c r="C34" s="2"/>
      <c r="D34" s="2"/>
      <c r="E34" s="3"/>
    </row>
    <row r="35" ht="19.5" customHeight="1">
      <c r="B35" s="61" t="s">
        <v>241</v>
      </c>
      <c r="C35" s="2"/>
      <c r="D35" s="2"/>
      <c r="E35" s="3"/>
    </row>
    <row r="36" ht="18.0" customHeight="1"/>
    <row r="37" ht="18.0" customHeight="1">
      <c r="B37" s="62" t="s">
        <v>200</v>
      </c>
      <c r="C37" s="2"/>
      <c r="D37" s="2"/>
      <c r="E37" s="3"/>
    </row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32:E32"/>
    <mergeCell ref="B33:E33"/>
    <mergeCell ref="B34:E34"/>
    <mergeCell ref="B35:E35"/>
    <mergeCell ref="B37:E37"/>
    <mergeCell ref="B2:E2"/>
    <mergeCell ref="B3:E3"/>
    <mergeCell ref="B5:E5"/>
    <mergeCell ref="B12:E12"/>
    <mergeCell ref="B19:E19"/>
    <mergeCell ref="B25:E25"/>
    <mergeCell ref="B31:E31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3" width="54.0"/>
    <col customWidth="1" min="4" max="4" width="3.0"/>
    <col customWidth="1" min="5" max="26" width="8.71"/>
  </cols>
  <sheetData>
    <row r="1" ht="18.0" customHeight="1"/>
    <row r="2" ht="18.0" customHeight="1">
      <c r="B2" s="52" t="s">
        <v>242</v>
      </c>
      <c r="C2" s="3"/>
    </row>
    <row r="3" ht="18.0" customHeight="1"/>
    <row r="4" ht="18.0" customHeight="1"/>
    <row r="5" ht="21.75" customHeight="1">
      <c r="B5" s="63" t="s">
        <v>243</v>
      </c>
      <c r="C5" s="3"/>
    </row>
    <row r="6" ht="36.0" customHeight="1">
      <c r="B6" s="64" t="s">
        <v>244</v>
      </c>
      <c r="C6" s="65" t="s">
        <v>245</v>
      </c>
    </row>
    <row r="7" ht="36.0" customHeight="1">
      <c r="B7" s="66" t="s">
        <v>246</v>
      </c>
      <c r="C7" s="67" t="s">
        <v>247</v>
      </c>
    </row>
    <row r="8" ht="36.0" customHeight="1">
      <c r="B8" s="64" t="s">
        <v>248</v>
      </c>
      <c r="C8" s="65" t="s">
        <v>249</v>
      </c>
    </row>
    <row r="9" ht="36.0" customHeight="1">
      <c r="B9" s="66" t="s">
        <v>250</v>
      </c>
      <c r="C9" s="67" t="s">
        <v>251</v>
      </c>
    </row>
    <row r="10" ht="36.0" customHeight="1">
      <c r="B10" s="64" t="s">
        <v>252</v>
      </c>
      <c r="C10" s="65" t="s">
        <v>253</v>
      </c>
    </row>
    <row r="11" ht="36.0" customHeight="1">
      <c r="B11" s="66" t="s">
        <v>254</v>
      </c>
      <c r="C11" s="67" t="s">
        <v>255</v>
      </c>
    </row>
    <row r="12" ht="36.0" customHeight="1">
      <c r="B12" s="64" t="s">
        <v>256</v>
      </c>
      <c r="C12" s="65" t="s">
        <v>257</v>
      </c>
    </row>
    <row r="13" ht="36.0" customHeight="1">
      <c r="B13" s="66" t="s">
        <v>258</v>
      </c>
      <c r="C13" s="67" t="s">
        <v>259</v>
      </c>
    </row>
    <row r="14" ht="36.0" customHeight="1">
      <c r="B14" s="64" t="s">
        <v>260</v>
      </c>
      <c r="C14" s="65" t="s">
        <v>261</v>
      </c>
    </row>
    <row r="15" ht="36.0" customHeight="1">
      <c r="B15" s="66" t="s">
        <v>262</v>
      </c>
      <c r="C15" s="67" t="s">
        <v>263</v>
      </c>
    </row>
    <row r="16" ht="18.0" customHeight="1"/>
    <row r="17" ht="18.0" customHeight="1"/>
    <row r="18" ht="21.75" customHeight="1">
      <c r="B18" s="63" t="s">
        <v>264</v>
      </c>
      <c r="C18" s="3"/>
    </row>
    <row r="19" ht="36.0" customHeight="1">
      <c r="B19" s="66" t="s">
        <v>265</v>
      </c>
      <c r="C19" s="67" t="s">
        <v>266</v>
      </c>
    </row>
    <row r="20" ht="36.0" customHeight="1">
      <c r="B20" s="64" t="s">
        <v>267</v>
      </c>
      <c r="C20" s="65" t="s">
        <v>268</v>
      </c>
    </row>
    <row r="21" ht="36.0" customHeight="1">
      <c r="B21" s="66" t="s">
        <v>269</v>
      </c>
      <c r="C21" s="67" t="s">
        <v>270</v>
      </c>
    </row>
    <row r="22" ht="36.0" customHeight="1">
      <c r="B22" s="64" t="s">
        <v>271</v>
      </c>
      <c r="C22" s="65" t="s">
        <v>272</v>
      </c>
    </row>
    <row r="23" ht="36.0" customHeight="1">
      <c r="B23" s="66" t="s">
        <v>273</v>
      </c>
      <c r="C23" s="67" t="s">
        <v>274</v>
      </c>
    </row>
    <row r="24" ht="36.0" customHeight="1">
      <c r="B24" s="64" t="s">
        <v>275</v>
      </c>
      <c r="C24" s="65" t="s">
        <v>276</v>
      </c>
    </row>
    <row r="25" ht="36.0" customHeight="1">
      <c r="B25" s="66" t="s">
        <v>277</v>
      </c>
      <c r="C25" s="67" t="s">
        <v>278</v>
      </c>
    </row>
    <row r="26" ht="36.0" customHeight="1">
      <c r="B26" s="64" t="s">
        <v>279</v>
      </c>
      <c r="C26" s="65" t="s">
        <v>280</v>
      </c>
    </row>
    <row r="27" ht="36.0" customHeight="1">
      <c r="B27" s="66" t="s">
        <v>281</v>
      </c>
      <c r="C27" s="67" t="s">
        <v>282</v>
      </c>
    </row>
    <row r="28" ht="36.0" customHeight="1">
      <c r="B28" s="64" t="s">
        <v>283</v>
      </c>
      <c r="C28" s="65" t="s">
        <v>284</v>
      </c>
    </row>
    <row r="29" ht="18.0" customHeight="1"/>
    <row r="30" ht="18.0" customHeight="1"/>
    <row r="31" ht="21.75" customHeight="1">
      <c r="B31" s="63" t="s">
        <v>285</v>
      </c>
      <c r="C31" s="3"/>
    </row>
    <row r="32" ht="36.0" customHeight="1">
      <c r="B32" s="64" t="s">
        <v>286</v>
      </c>
      <c r="C32" s="65" t="s">
        <v>287</v>
      </c>
    </row>
    <row r="33" ht="36.0" customHeight="1">
      <c r="B33" s="66" t="s">
        <v>288</v>
      </c>
      <c r="C33" s="67" t="s">
        <v>289</v>
      </c>
    </row>
    <row r="34" ht="36.0" customHeight="1">
      <c r="B34" s="64" t="s">
        <v>290</v>
      </c>
      <c r="C34" s="65" t="s">
        <v>291</v>
      </c>
    </row>
    <row r="35" ht="36.0" customHeight="1">
      <c r="B35" s="66" t="s">
        <v>292</v>
      </c>
      <c r="C35" s="67" t="s">
        <v>293</v>
      </c>
    </row>
    <row r="36" ht="36.0" customHeight="1">
      <c r="B36" s="64" t="s">
        <v>294</v>
      </c>
      <c r="C36" s="65" t="s">
        <v>295</v>
      </c>
    </row>
    <row r="37" ht="36.0" customHeight="1">
      <c r="B37" s="66" t="s">
        <v>131</v>
      </c>
      <c r="C37" s="67" t="s">
        <v>296</v>
      </c>
    </row>
    <row r="38" ht="18.0" customHeight="1"/>
    <row r="39" ht="18.0" customHeight="1"/>
    <row r="40" ht="21.75" customHeight="1">
      <c r="B40" s="63" t="s">
        <v>297</v>
      </c>
      <c r="C40" s="3"/>
    </row>
    <row r="41" ht="36.0" customHeight="1">
      <c r="B41" s="66" t="s">
        <v>298</v>
      </c>
      <c r="C41" s="67" t="s">
        <v>299</v>
      </c>
    </row>
    <row r="42" ht="36.0" customHeight="1">
      <c r="B42" s="64" t="s">
        <v>300</v>
      </c>
      <c r="C42" s="65" t="s">
        <v>301</v>
      </c>
    </row>
    <row r="43" ht="36.0" customHeight="1">
      <c r="B43" s="66" t="s">
        <v>302</v>
      </c>
      <c r="C43" s="67" t="s">
        <v>303</v>
      </c>
    </row>
    <row r="44" ht="36.0" customHeight="1">
      <c r="B44" s="64" t="s">
        <v>304</v>
      </c>
      <c r="C44" s="65" t="s">
        <v>305</v>
      </c>
    </row>
    <row r="45" ht="36.0" customHeight="1">
      <c r="B45" s="66" t="s">
        <v>306</v>
      </c>
      <c r="C45" s="67" t="s">
        <v>307</v>
      </c>
    </row>
    <row r="46" ht="36.0" customHeight="1">
      <c r="B46" s="64" t="s">
        <v>308</v>
      </c>
      <c r="C46" s="65" t="s">
        <v>309</v>
      </c>
    </row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C2"/>
    <mergeCell ref="B5:C5"/>
    <mergeCell ref="B18:C18"/>
    <mergeCell ref="B31:C31"/>
    <mergeCell ref="B40:C40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2026-06-27T21:00:59Z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