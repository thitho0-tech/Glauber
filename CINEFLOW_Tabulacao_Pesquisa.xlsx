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6.xml" ContentType="application/vnd.ms-office.chartcolor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Dicionário" sheetId="2" state="visible" r:id="rId4"/>
    <sheet name="Dados Brutos" sheetId="3" state="visible" r:id="rId5"/>
    <sheet name="Freq_Perfil" sheetId="4" state="visible" r:id="rId6"/>
    <sheet name="Freq_Dores" sheetId="5" state="visible" r:id="rId7"/>
    <sheet name="Freq_Ferramentas" sheetId="6" state="visible" r:id="rId8"/>
    <sheet name="Cruzamentos" sheetId="7" state="visible" r:id="rId9"/>
    <sheet name="Qualitativa" sheetId="8" state="visible" r:id="rId10"/>
    <sheet name="Insights_MVP" sheetId="9" state="visible" r:id="rId11"/>
    <sheet name="Discovery_List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<sst xmlns="http://schemas.openxmlformats.org/spreadsheetml/2006/main" count="817" uniqueCount="492">
  <si>
    <t xml:space="preserve">CINEFLOW — Pesquisa: Transformação Digital e Eficiência no Audiovisual</t>
  </si>
  <si>
    <t xml:space="preserve">Programa</t>
  </si>
  <si>
    <t xml:space="preserve">Trilha de Pré-Incubação — Porto Digital (Eixo Audiovisual)</t>
  </si>
  <si>
    <t xml:space="preserve">Projeto</t>
  </si>
  <si>
    <t xml:space="preserve">CINEFLOW</t>
  </si>
  <si>
    <t xml:space="preserve">Período de coleta</t>
  </si>
  <si>
    <t xml:space="preserve">05/05/2026 a 20/05/2026</t>
  </si>
  <si>
    <t xml:space="preserve">Respondentes (n)</t>
  </si>
  <si>
    <t xml:space="preserve">Canal</t>
  </si>
  <si>
    <t xml:space="preserve">Google Forms (link compartilhado em rede do fundador)</t>
  </si>
  <si>
    <t xml:space="preserve">Data da tabulação</t>
  </si>
  <si>
    <t xml:space="preserve">20/05/2026</t>
  </si>
  <si>
    <t xml:space="preserve">Principais achados (TL;DR)</t>
  </si>
  <si>
    <t xml:space="preserve">Stack dominante extremamente convergente</t>
  </si>
  <si>
    <t xml:space="preserve">WhatsApp (95,5%) + Google Drive (90,9%) + Sheets (81,8%). Nenhuma ferramenta dedicada de produção audiovisual aparece em mais de 14% dos respondentes.</t>
  </si>
  <si>
    <t xml:space="preserve">Tempo desperdiçado é universal</t>
  </si>
  <si>
    <t xml:space="preserve">72,7% dos respondentes perdem 5h+/semana em tarefas administrativas manuais; 31,8% perdem mais de 10h/semana.</t>
  </si>
  <si>
    <t xml:space="preserve">Prejuízo financeiro real e latente</t>
  </si>
  <si>
    <t xml:space="preserve">36,4% já tiveram prejuízos na prestação de contas (glosas, multas, perda de reembolsos).</t>
  </si>
  <si>
    <t xml:space="preserve">Aceitação de entrevistas altíssima</t>
  </si>
  <si>
    <t xml:space="preserve">72,7% (16 pessoas) aceitam dar feedback qualitativo aprofundado de 15 minutos.</t>
  </si>
  <si>
    <t xml:space="preserve">100% reconhecem valor da solução</t>
  </si>
  <si>
    <t xml:space="preserve">Nenhum respondente disse 'sem impacto'; 45,5% impacto alto, 54,5% impacto moderado.</t>
  </si>
  <si>
    <t xml:space="preserve">ICP inicial validado</t>
  </si>
  <si>
    <t xml:space="preserve">Produtores Executivos + produtoras LTDA + Longas/Séries: concentram simultaneamente maior dor de tempo, maior incidência de prejuízos e maior impacto percebido.</t>
  </si>
  <si>
    <t xml:space="preserve">Concentração regional Nordeste (63,6%)</t>
  </si>
  <si>
    <t xml:space="preserve">Coerente com a origem do projeto (Porto Digital/Recife); próxima rodada deve expandir Sudeste/Sul.</t>
  </si>
  <si>
    <t xml:space="preserve">Dicionário de Variáveis</t>
  </si>
  <si>
    <t xml:space="preserve">Campo</t>
  </si>
  <si>
    <t xml:space="preserve">Tipo</t>
  </si>
  <si>
    <t xml:space="preserve">Descrição</t>
  </si>
  <si>
    <t xml:space="preserve">ID</t>
  </si>
  <si>
    <t xml:space="preserve">Inteiro</t>
  </si>
  <si>
    <t xml:space="preserve">Identificador sequencial atribuído na tabulação</t>
  </si>
  <si>
    <t xml:space="preserve">Carimbo</t>
  </si>
  <si>
    <t xml:space="preserve">Data/hora</t>
  </si>
  <si>
    <t xml:space="preserve">Momento de envio do formulário</t>
  </si>
  <si>
    <t xml:space="preserve">Nome</t>
  </si>
  <si>
    <t xml:space="preserve">Texto</t>
  </si>
  <si>
    <t xml:space="preserve">Nome completo do respondente</t>
  </si>
  <si>
    <t xml:space="preserve">Função</t>
  </si>
  <si>
    <t xml:space="preserve">Categórica (livre)</t>
  </si>
  <si>
    <t xml:space="preserve">Principal função do respondente no audiovisual</t>
  </si>
  <si>
    <t xml:space="preserve">Email</t>
  </si>
  <si>
    <t xml:space="preserve">Contato para entrevistas qualitativas</t>
  </si>
  <si>
    <t xml:space="preserve">Telefone</t>
  </si>
  <si>
    <t xml:space="preserve">WhatsApp para contato</t>
  </si>
  <si>
    <t xml:space="preserve">Enquadramento Produtora</t>
  </si>
  <si>
    <t xml:space="preserve">Categórica</t>
  </si>
  <si>
    <t xml:space="preserve">MEI / ME / EPP / LTDA — formalização jurídica</t>
  </si>
  <si>
    <t xml:space="preserve">Porte das Produções</t>
  </si>
  <si>
    <t xml:space="preserve">Multi-select</t>
  </si>
  <si>
    <t xml:space="preserve">Tipos de obra em que atua (Curta, Longa, Série, Publicidade etc.)</t>
  </si>
  <si>
    <t xml:space="preserve">Projetos/ano (texto)</t>
  </si>
  <si>
    <t xml:space="preserve">Texto livre</t>
  </si>
  <si>
    <t xml:space="preserve">Quantidade média de projetos gerenciados por ano</t>
  </si>
  <si>
    <t xml:space="preserve">Ferramentas</t>
  </si>
  <si>
    <t xml:space="preserve">Stack atual de gestão (WhatsApp, Sheets, Drive, Notion etc.)</t>
  </si>
  <si>
    <t xml:space="preserve">Ruído Comunicação (1-5)</t>
  </si>
  <si>
    <t xml:space="preserve">Escala Likert 1-5</t>
  </si>
  <si>
    <t xml:space="preserve">Frequência de ruídos/atrasos por informação desatualizada (1=nunca, 5=sempre)</t>
  </si>
  <si>
    <t xml:space="preserve">Prejuízos Prestação Contas</t>
  </si>
  <si>
    <t xml:space="preserve">Nunca / Raramente / Sim ocasionalmente / Sim frequentemente</t>
  </si>
  <si>
    <t xml:space="preserve">Dificuldade Gestão Equipe (1-5)</t>
  </si>
  <si>
    <t xml:space="preserve">Dificuldade em controlar jornada, transporte, check-in (1=fácil, 5=muito difícil)</t>
  </si>
  <si>
    <t xml:space="preserve">Tempo Desperdiçado/semana</t>
  </si>
  <si>
    <t xml:space="preserve">Horas/semana em tarefas administrativas manuais</t>
  </si>
  <si>
    <t xml:space="preserve">Impacto da Plataforma</t>
  </si>
  <si>
    <t xml:space="preserve">Impacto percebido de uma plataforma centralizada (alto/moderado/baixo)</t>
  </si>
  <si>
    <t xml:space="preserve">Aceita Entrevista</t>
  </si>
  <si>
    <t xml:space="preserve">Sim/Não</t>
  </si>
  <si>
    <t xml:space="preserve">Disposição para 15 min de entrevista qualitativa</t>
  </si>
  <si>
    <t xml:space="preserve">Região</t>
  </si>
  <si>
    <t xml:space="preserve">Região do Brasil onde atua</t>
  </si>
  <si>
    <t xml:space="preserve">Dados Brutos — 22 respostas</t>
  </si>
  <si>
    <t xml:space="preserve">05/05/2026 20:34:14</t>
  </si>
  <si>
    <t xml:space="preserve">Francisco Amorim de Oliveira Fillho</t>
  </si>
  <si>
    <t xml:space="preserve">Produtor Executivo</t>
  </si>
  <si>
    <t xml:space="preserve">chicocine@hotmail.com</t>
  </si>
  <si>
    <t xml:space="preserve">(21)965570958</t>
  </si>
  <si>
    <t xml:space="preserve">chicoamorim</t>
  </si>
  <si>
    <t xml:space="preserve">Curtas-metragens</t>
  </si>
  <si>
    <t xml:space="preserve">01</t>
  </si>
  <si>
    <t xml:space="preserve">WhatsApp, Planilhas Excel/ Google Sheets, Google Drive</t>
  </si>
  <si>
    <t xml:space="preserve">Raramente</t>
  </si>
  <si>
    <t xml:space="preserve">De 5 a 10 horas</t>
  </si>
  <si>
    <t xml:space="preserve">Impacto alto (Resolveria dores críticas e economizaria dinheiro)</t>
  </si>
  <si>
    <t xml:space="preserve">SIM</t>
  </si>
  <si>
    <t xml:space="preserve">05/05/2026 21:02:32</t>
  </si>
  <si>
    <t xml:space="preserve">Adah lisboa</t>
  </si>
  <si>
    <t xml:space="preserve">Adahlisboa.cadastros@gmail.com</t>
  </si>
  <si>
    <t xml:space="preserve">Séries</t>
  </si>
  <si>
    <t xml:space="preserve">1</t>
  </si>
  <si>
    <t xml:space="preserve">Sim, frequentemente</t>
  </si>
  <si>
    <t xml:space="preserve">Mais de 10 horas</t>
  </si>
  <si>
    <t xml:space="preserve">17/05/2026 13:59:13</t>
  </si>
  <si>
    <t xml:space="preserve">Tiago Leitão</t>
  </si>
  <si>
    <t xml:space="preserve">Produtor e Diretor</t>
  </si>
  <si>
    <t xml:space="preserve">pro@oparaproducoes.com.br</t>
  </si>
  <si>
    <t xml:space="preserve">81999613372</t>
  </si>
  <si>
    <t xml:space="preserve">LTDA</t>
  </si>
  <si>
    <t xml:space="preserve">Curtas-metragens, Longas-metragens, Séries</t>
  </si>
  <si>
    <t xml:space="preserve">2</t>
  </si>
  <si>
    <t xml:space="preserve">NÃO</t>
  </si>
  <si>
    <t xml:space="preserve">Nordeste</t>
  </si>
  <si>
    <t xml:space="preserve">17/05/2026 14:00:33</t>
  </si>
  <si>
    <t xml:space="preserve">Andre Farkatt</t>
  </si>
  <si>
    <t xml:space="preserve">Montador/sup. Pós Produção</t>
  </si>
  <si>
    <t xml:space="preserve">farkatt@icloud.com</t>
  </si>
  <si>
    <t xml:space="preserve">ME (sócio único)</t>
  </si>
  <si>
    <t xml:space="preserve">Curtas-metragens, Publicidade, Longas-metragens, Séries</t>
  </si>
  <si>
    <t xml:space="preserve">Longos, 3. Curtos/publicidade, 15-20.</t>
  </si>
  <si>
    <t xml:space="preserve">WhatsApp, Planilhas Excel/ Google Sheets, Google Drive, Frame.io</t>
  </si>
  <si>
    <t xml:space="preserve">Impacto moderado (Ajudaria a organizar melhor)</t>
  </si>
  <si>
    <t xml:space="preserve">17/05/2026 14:12:07</t>
  </si>
  <si>
    <t xml:space="preserve">Pablo Menezes Nóbrega</t>
  </si>
  <si>
    <t xml:space="preserve">Colorista e pós produtor</t>
  </si>
  <si>
    <t xml:space="preserve">pablo@dubcolor.com</t>
  </si>
  <si>
    <t xml:space="preserve">81992853685</t>
  </si>
  <si>
    <t xml:space="preserve">Longas-metragens, Séries</t>
  </si>
  <si>
    <t xml:space="preserve">20</t>
  </si>
  <si>
    <t xml:space="preserve">WhatsApp, Notion, Frame.io, Davinci Resolve</t>
  </si>
  <si>
    <t xml:space="preserve">Sim, ocasionalmente</t>
  </si>
  <si>
    <t xml:space="preserve">Menos de 5 horas</t>
  </si>
  <si>
    <t xml:space="preserve">17/05/2026 15:28:24</t>
  </si>
  <si>
    <t xml:space="preserve">Carlos Alberto Pereira da Silva (Carlota Pereira)</t>
  </si>
  <si>
    <t xml:space="preserve">Diretor, Roteirista e Direção de arte</t>
  </si>
  <si>
    <t xml:space="preserve">carlotaproducoes@gmail.com</t>
  </si>
  <si>
    <t xml:space="preserve">81996873531</t>
  </si>
  <si>
    <t xml:space="preserve">Curtas-metragens, Videoclipes, Publicidade, Conteúdo Digital, Longas-metragens, Séries</t>
  </si>
  <si>
    <t xml:space="preserve">WhatsApp, Planilhas Excel/ Google Sheets, Google Drive, Trello</t>
  </si>
  <si>
    <t xml:space="preserve">17/05/2026 18:10:16</t>
  </si>
  <si>
    <t xml:space="preserve">Túlio Marcelo Bambino</t>
  </si>
  <si>
    <t xml:space="preserve">Assistente de Direção</t>
  </si>
  <si>
    <t xml:space="preserve">petitmalacoimagensesons@gmail.com</t>
  </si>
  <si>
    <t xml:space="preserve">21987619423</t>
  </si>
  <si>
    <t xml:space="preserve">MEI</t>
  </si>
  <si>
    <t xml:space="preserve">Curtas-metragens, Conteúdo Digital</t>
  </si>
  <si>
    <t xml:space="preserve">WhatsApp, Google Drive</t>
  </si>
  <si>
    <t xml:space="preserve">Sudeste</t>
  </si>
  <si>
    <t xml:space="preserve">17/05/2026 18:40:05</t>
  </si>
  <si>
    <t xml:space="preserve">Adah lisba</t>
  </si>
  <si>
    <t xml:space="preserve">EPP</t>
  </si>
  <si>
    <t xml:space="preserve">WhatsApp, Planilhas Excel/ Google Sheets</t>
  </si>
  <si>
    <t xml:space="preserve">17/05/2026 19:55:05</t>
  </si>
  <si>
    <t xml:space="preserve">Victor Lucas Jiménez Marques</t>
  </si>
  <si>
    <t xml:space="preserve">tubahfilmes@gmail.com</t>
  </si>
  <si>
    <t xml:space="preserve">81989161550</t>
  </si>
  <si>
    <t xml:space="preserve">Curtas-metragens, Conteúdo Digital, Longas-metragens, Séries</t>
  </si>
  <si>
    <t xml:space="preserve">4</t>
  </si>
  <si>
    <t xml:space="preserve">WhatsApp, Planilhas Excel/ Google Sheets, Google Drive, Notion</t>
  </si>
  <si>
    <t xml:space="preserve">17/05/2026 20:00:48</t>
  </si>
  <si>
    <t xml:space="preserve">Carla Francine Pedrosa Ferreira</t>
  </si>
  <si>
    <t xml:space="preserve">Carlafrancinepf@gmail.com</t>
  </si>
  <si>
    <t xml:space="preserve">(81) 99965-9066</t>
  </si>
  <si>
    <t xml:space="preserve">18/05/2026 07:26:37</t>
  </si>
  <si>
    <t xml:space="preserve">Márcio Henrique Melo de Andrade</t>
  </si>
  <si>
    <t xml:space="preserve">Realizador</t>
  </si>
  <si>
    <t xml:space="preserve">marcioh.andrade@gmail.com</t>
  </si>
  <si>
    <t xml:space="preserve">(81)998798970</t>
  </si>
  <si>
    <t xml:space="preserve">4 projetos</t>
  </si>
  <si>
    <t xml:space="preserve">18/05/2026 11:55:34</t>
  </si>
  <si>
    <t xml:space="preserve">Katia Sheila Mesel</t>
  </si>
  <si>
    <t xml:space="preserve">Roteirista, Diretora, Diretora de Arte, Produtora</t>
  </si>
  <si>
    <t xml:space="preserve">katiamesel@hotmail.com</t>
  </si>
  <si>
    <t xml:space="preserve">81 882728587</t>
  </si>
  <si>
    <t xml:space="preserve">Curtas-metragens, Séries</t>
  </si>
  <si>
    <t xml:space="preserve">depende, maximo 60, minimo 5 obras</t>
  </si>
  <si>
    <t xml:space="preserve">Nunca tive problemas</t>
  </si>
  <si>
    <t xml:space="preserve">como concentro muito, desperdiço pouco tempo</t>
  </si>
  <si>
    <t xml:space="preserve">18/05/2026 11:58:10</t>
  </si>
  <si>
    <t xml:space="preserve">Mariana Thome</t>
  </si>
  <si>
    <t xml:space="preserve">Produtora</t>
  </si>
  <si>
    <t xml:space="preserve">Marianaroblesthome@gmail.com</t>
  </si>
  <si>
    <t xml:space="preserve">48998313009</t>
  </si>
  <si>
    <t xml:space="preserve">Curtas-metragens, Longas-metragens</t>
  </si>
  <si>
    <t xml:space="preserve">12</t>
  </si>
  <si>
    <t xml:space="preserve">WhatsApp, Planilhas Excel/ Google Sheets, Google Drive, Notion, Movie Magic</t>
  </si>
  <si>
    <t xml:space="preserve">Sul</t>
  </si>
  <si>
    <t xml:space="preserve">18/05/2026 12:53:36</t>
  </si>
  <si>
    <t xml:space="preserve">Paulo Gabriel</t>
  </si>
  <si>
    <t xml:space="preserve">gestoreprodutorpajlogabriel@gmail.com</t>
  </si>
  <si>
    <t xml:space="preserve">11947981246</t>
  </si>
  <si>
    <t xml:space="preserve">Curtas-metragens, Conteúdo Digital, Longas-metragens</t>
  </si>
  <si>
    <t xml:space="preserve">6</t>
  </si>
  <si>
    <t xml:space="preserve">18/05/2026 14:44:56</t>
  </si>
  <si>
    <t xml:space="preserve">EDUARDO NOBREGA</t>
  </si>
  <si>
    <t xml:space="preserve">enobrega@anonymouscontentbr.com</t>
  </si>
  <si>
    <t xml:space="preserve">Publicidade, Conteúdo Digital, Longas-metragens, Séries</t>
  </si>
  <si>
    <t xml:space="preserve">10 aproximadamente</t>
  </si>
  <si>
    <t xml:space="preserve">WhatsApp, Planilhas Excel/ Google Sheets, Google Drive, Esferas</t>
  </si>
  <si>
    <t xml:space="preserve">18/05/2026 15:00:39</t>
  </si>
  <si>
    <t xml:space="preserve">Clarissa Emilia de Vasconcelos Dutra</t>
  </si>
  <si>
    <t xml:space="preserve">Diretor de Produção</t>
  </si>
  <si>
    <t xml:space="preserve">CLADUTRA@GMAIL.COM</t>
  </si>
  <si>
    <t xml:space="preserve">81999221113</t>
  </si>
  <si>
    <t xml:space="preserve">Curtas-metragens, Videoclipes, Conteúdo Digital, Longas-metragens, Séries</t>
  </si>
  <si>
    <t xml:space="preserve">04 ou 05</t>
  </si>
  <si>
    <t xml:space="preserve">18/05/2026 16:10:14</t>
  </si>
  <si>
    <t xml:space="preserve">Michelle Rocha</t>
  </si>
  <si>
    <t xml:space="preserve">mi.pros7@gmail.com</t>
  </si>
  <si>
    <t xml:space="preserve">11991810887</t>
  </si>
  <si>
    <t xml:space="preserve">Reality e documentários</t>
  </si>
  <si>
    <t xml:space="preserve">3/4</t>
  </si>
  <si>
    <t xml:space="preserve">19/05/2026 18:09:28</t>
  </si>
  <si>
    <t xml:space="preserve">Tábata Clarissa de Morais</t>
  </si>
  <si>
    <t xml:space="preserve">Roteirista</t>
  </si>
  <si>
    <t xml:space="preserve">tabatademorais@gmail.com</t>
  </si>
  <si>
    <t xml:space="preserve">81998215308</t>
  </si>
  <si>
    <t xml:space="preserve">ME LTDA</t>
  </si>
  <si>
    <t xml:space="preserve">Perfil profissional diferente (mestrado/proponente de projetos)</t>
  </si>
  <si>
    <t xml:space="preserve">20/05/2026 00:30:56</t>
  </si>
  <si>
    <t xml:space="preserve">Luana Pimentel Monteiro</t>
  </si>
  <si>
    <t xml:space="preserve">Coordenador de Produção</t>
  </si>
  <si>
    <t xml:space="preserve">lupmonteiro90@gmail.com</t>
  </si>
  <si>
    <t xml:space="preserve">11983385010</t>
  </si>
  <si>
    <t xml:space="preserve">Dois a três</t>
  </si>
  <si>
    <t xml:space="preserve">20/05/2026 14:41:01</t>
  </si>
  <si>
    <t xml:space="preserve">Thiago França</t>
  </si>
  <si>
    <t xml:space="preserve">Diretor</t>
  </si>
  <si>
    <t xml:space="preserve">thitho0@gmail.com</t>
  </si>
  <si>
    <t xml:space="preserve">81999599393</t>
  </si>
  <si>
    <t xml:space="preserve">Curtas-metragens, Videoclipes, Conteúdo Digital, Video arte</t>
  </si>
  <si>
    <t xml:space="preserve">8</t>
  </si>
  <si>
    <t xml:space="preserve">20/05/2026 14:42:46</t>
  </si>
  <si>
    <t xml:space="preserve">Luiz André Auler Matheus Peres</t>
  </si>
  <si>
    <t xml:space="preserve">Roteirista e diretor artístico</t>
  </si>
  <si>
    <t xml:space="preserve">andreaulertv@gmail.com</t>
  </si>
  <si>
    <t xml:space="preserve">21 99314-8215</t>
  </si>
  <si>
    <t xml:space="preserve">Vídeos corporativos (também tem longas e séries em projeto)</t>
  </si>
  <si>
    <t xml:space="preserve">Corporativos: 25 a 30/ano. Autoral: nenhum por enquanto.</t>
  </si>
  <si>
    <t xml:space="preserve">20/05/2026 14:53:24</t>
  </si>
  <si>
    <t xml:space="preserve">José Rafael Coelho</t>
  </si>
  <si>
    <t xml:space="preserve">Montador</t>
  </si>
  <si>
    <t xml:space="preserve">rafael.artcult@gmail.com</t>
  </si>
  <si>
    <t xml:space="preserve">Google Drive</t>
  </si>
  <si>
    <t xml:space="preserve">Frequências — Perfil dos Respondentes (n=22)</t>
  </si>
  <si>
    <t xml:space="preserve">Função principal (agrupada)</t>
  </si>
  <si>
    <t xml:space="preserve">Categoria</t>
  </si>
  <si>
    <t xml:space="preserve">n</t>
  </si>
  <si>
    <t xml:space="preserve">%</t>
  </si>
  <si>
    <t xml:space="preserve">Detalhe</t>
  </si>
  <si>
    <t xml:space="preserve">Produção (Executivo/Coord/Diretor de Produção)</t>
  </si>
  <si>
    <t xml:space="preserve">Produtor Executivo (7), Produtor e Diretor (1), Diretor de Produção (1), Coordenador de Produção (1), Produtora (1)</t>
  </si>
  <si>
    <t xml:space="preserve">Direção / Assistência de Direção</t>
  </si>
  <si>
    <t xml:space="preserve">Diretor (1), Assistente de Direção (2), Realizador (1)</t>
  </si>
  <si>
    <t xml:space="preserve">Roteiro / Direção criativa</t>
  </si>
  <si>
    <t xml:space="preserve">Roteirista/Diretor (2), Roteirista (1), Roteirista/Diretor Artístico (1)</t>
  </si>
  <si>
    <t xml:space="preserve">Pós-produção / Montagem / Cor</t>
  </si>
  <si>
    <t xml:space="preserve">Montador (1), Colorista/Pós (1), Montador/sup. Pós (1)</t>
  </si>
  <si>
    <t xml:space="preserve">TOTAL</t>
  </si>
  <si>
    <t xml:space="preserve">Obs.</t>
  </si>
  <si>
    <t xml:space="preserve">Não informado</t>
  </si>
  <si>
    <t xml:space="preserve">Enquadramento jurídico da produtora</t>
  </si>
  <si>
    <t xml:space="preserve">Enquadramento</t>
  </si>
  <si>
    <t xml:space="preserve">ME (sócio único) / ME LTDA</t>
  </si>
  <si>
    <t xml:space="preserve">5 ME (sócio único) + 1 ME LTDA</t>
  </si>
  <si>
    <t xml:space="preserve">Sem produtora formal / Em branco</t>
  </si>
  <si>
    <t xml:space="preserve">Porte das produções (multi-resposta sobre n=22)</t>
  </si>
  <si>
    <t xml:space="preserve">Formato</t>
  </si>
  <si>
    <t xml:space="preserve">% sobre 22</t>
  </si>
  <si>
    <t xml:space="preserve">Longas-metragens</t>
  </si>
  <si>
    <t xml:space="preserve">Conteúdo Digital</t>
  </si>
  <si>
    <t xml:space="preserve">Videoclipes</t>
  </si>
  <si>
    <t xml:space="preserve">Publicidade</t>
  </si>
  <si>
    <t xml:space="preserve">Outros (Reality, Corporativos, Video arte)</t>
  </si>
  <si>
    <t xml:space="preserve">Volume de projetos/ano (categorizado)</t>
  </si>
  <si>
    <t xml:space="preserve">Faixa</t>
  </si>
  <si>
    <t xml:space="preserve">1 projeto/ano</t>
  </si>
  <si>
    <t xml:space="preserve">2-3 projetos/ano</t>
  </si>
  <si>
    <t xml:space="preserve">4-5 projetos/ano</t>
  </si>
  <si>
    <t xml:space="preserve">6-10 projetos/ano</t>
  </si>
  <si>
    <t xml:space="preserve">11-20 projetos/ano</t>
  </si>
  <si>
    <t xml:space="preserve">20+ projetos/ano</t>
  </si>
  <si>
    <t xml:space="preserve">Frequências — Dores Operacionais (n=22)</t>
  </si>
  <si>
    <t xml:space="preserve">Ruído / atrasos por comunicação (escala 1-5)</t>
  </si>
  <si>
    <t xml:space="preserve">Nota</t>
  </si>
  <si>
    <t xml:space="preserve">Spacer</t>
  </si>
  <si>
    <t xml:space="preserve">1 — Nunca</t>
  </si>
  <si>
    <t xml:space="preserve">Casos: 3, 12, 13, 22</t>
  </si>
  <si>
    <t xml:space="preserve">2 — Raro</t>
  </si>
  <si>
    <t xml:space="preserve">Casos: 5, 7, 10, 15, 21</t>
  </si>
  <si>
    <t xml:space="preserve">3 — Às vezes</t>
  </si>
  <si>
    <t xml:space="preserve">Casos: 4, 6, 9, 14, 18</t>
  </si>
  <si>
    <t xml:space="preserve">4 — Frequente</t>
  </si>
  <si>
    <t xml:space="preserve">Casos: 8, 11, 17, 19</t>
  </si>
  <si>
    <t xml:space="preserve">5 — Sempre</t>
  </si>
  <si>
    <t xml:space="preserve">Casos: 1, 2, 16, 20</t>
  </si>
  <si>
    <t xml:space="preserve">Média: 2,95 / Mediana: 3 / % ≥4: 36,4%</t>
  </si>
  <si>
    <t xml:space="preserve">Prejuízos na prestação de contas</t>
  </si>
  <si>
    <t xml:space="preserve">Casos: 12, 14, 21, 22</t>
  </si>
  <si>
    <t xml:space="preserve">Casos: 1, 3, 4, 7, 10, 11, 13, 15, 18, 20</t>
  </si>
  <si>
    <t xml:space="preserve">Casos: 5, 6, 9, 16, 17</t>
  </si>
  <si>
    <t xml:space="preserve">Casos: 2, 8, 19</t>
  </si>
  <si>
    <t xml:space="preserve">% que JÁ teve prejuízos (ocas.+freq.): 36,4%</t>
  </si>
  <si>
    <t xml:space="preserve">Dificuldade em gestão de equipe / logística (1-5)</t>
  </si>
  <si>
    <t xml:space="preserve">1 — Muito fácil</t>
  </si>
  <si>
    <t xml:space="preserve">Caso: 12</t>
  </si>
  <si>
    <t xml:space="preserve">2 — Fácil</t>
  </si>
  <si>
    <t xml:space="preserve">Casos: 9, 11, 17, 21, 22</t>
  </si>
  <si>
    <t xml:space="preserve">3 — Moderado</t>
  </si>
  <si>
    <t xml:space="preserve">Casos: 2, 3, 4, 5, 6, 7, 10, 14, 18, 20</t>
  </si>
  <si>
    <t xml:space="preserve">4 — Difícil</t>
  </si>
  <si>
    <t xml:space="preserve">Casos: 13, 16, 19</t>
  </si>
  <si>
    <t xml:space="preserve">5 — Muito difícil</t>
  </si>
  <si>
    <t xml:space="preserve">Casos: 1, 8, 15</t>
  </si>
  <si>
    <t xml:space="preserve">Média: 3,09 / Mediana: 3 / % ≥4: 27,3%</t>
  </si>
  <si>
    <t xml:space="preserve">Tempo/semana em tarefas administrativas manuais</t>
  </si>
  <si>
    <t xml:space="preserve">Inclui resposta livre que indicou pouco tempo (caso 12)</t>
  </si>
  <si>
    <t xml:space="preserve">N/A (perfil diferente)</t>
  </si>
  <si>
    <t xml:space="preserve">Caso 18 — não atua em produção convencional</t>
  </si>
  <si>
    <t xml:space="preserve">% que perde 5h+/semana: 72,7%</t>
  </si>
  <si>
    <t xml:space="preserve">Impacto percebido de uma plataforma centralizada</t>
  </si>
  <si>
    <t xml:space="preserve">Impacto alto (resolveria dores críticas e economizaria dinheiro)</t>
  </si>
  <si>
    <t xml:space="preserve">Impacto moderado (ajudaria a organizar melhor)</t>
  </si>
  <si>
    <t xml:space="preserve">Sem impacto</t>
  </si>
  <si>
    <t xml:space="preserve">Nenhum respondente marcou esta opção</t>
  </si>
  <si>
    <t xml:space="preserve">Validação: 100% reconhecem valor</t>
  </si>
  <si>
    <t xml:space="preserve">Aceita conversa qualitativa de 15 min</t>
  </si>
  <si>
    <t xml:space="preserve">Resposta</t>
  </si>
  <si>
    <t xml:space="preserve">Base potencial de entrevistas qualitativas</t>
  </si>
  <si>
    <t xml:space="preserve">Taxa de aceitação: 72,7%</t>
  </si>
  <si>
    <t xml:space="preserve">Stack Atual de Ferramentas (multi-resposta, n=22)</t>
  </si>
  <si>
    <t xml:space="preserve">Ferramenta</t>
  </si>
  <si>
    <t xml:space="preserve">WhatsApp</t>
  </si>
  <si>
    <t xml:space="preserve">Quase universal — única ausência: caso 22 (só Google Drive)</t>
  </si>
  <si>
    <t xml:space="preserve">Armazenamento padrão</t>
  </si>
  <si>
    <t xml:space="preserve">Planilhas Excel / Google Sheets</t>
  </si>
  <si>
    <t xml:space="preserve">Gestão padrão</t>
  </si>
  <si>
    <t xml:space="preserve">Notion</t>
  </si>
  <si>
    <t xml:space="preserve">Casos: 5, 9, 13</t>
  </si>
  <si>
    <t xml:space="preserve">Trello</t>
  </si>
  <si>
    <t xml:space="preserve">Casos: 6, 16</t>
  </si>
  <si>
    <t xml:space="preserve">Frame.io</t>
  </si>
  <si>
    <t xml:space="preserve">Pós-produção (4, 5)</t>
  </si>
  <si>
    <t xml:space="preserve">Movie Magic</t>
  </si>
  <si>
    <t xml:space="preserve">Caso 13 — única ferramenta dedicada ao audiovisual</t>
  </si>
  <si>
    <t xml:space="preserve">DaVinci Resolve</t>
  </si>
  <si>
    <t xml:space="preserve">Caso 5</t>
  </si>
  <si>
    <t xml:space="preserve">Esferas</t>
  </si>
  <si>
    <t xml:space="preserve">Caso 15 — gestão financeira</t>
  </si>
  <si>
    <t xml:space="preserve">Cruzamentos Estratégicos</t>
  </si>
  <si>
    <t xml:space="preserve">1) Função × Tempo desperdiçado/semana</t>
  </si>
  <si>
    <t xml:space="preserve">Categoria de Função</t>
  </si>
  <si>
    <t xml:space="preserve">&lt;5h</t>
  </si>
  <si>
    <t xml:space="preserve">5-10h</t>
  </si>
  <si>
    <t xml:space="preserve">+10h</t>
  </si>
  <si>
    <t xml:space="preserve">N/A</t>
  </si>
  <si>
    <t xml:space="preserve">Total</t>
  </si>
  <si>
    <t xml:space="preserve">Produção (Exec/Coord/DP)</t>
  </si>
  <si>
    <t xml:space="preserve">Direção / Ass. Direção</t>
  </si>
  <si>
    <t xml:space="preserve">Pós-produção</t>
  </si>
  <si>
    <t xml:space="preserve">Leitura: equipes de Produção concentram a dor de tempo — 10 de 11 perdem 5h+/semana, e 6 perdem +10h.</t>
  </si>
  <si>
    <t xml:space="preserve">2) Função × Prejuízos prestação de contas</t>
  </si>
  <si>
    <t xml:space="preserve">Nunca</t>
  </si>
  <si>
    <t xml:space="preserve">Ocasionalmente</t>
  </si>
  <si>
    <t xml:space="preserve">Frequentemente</t>
  </si>
  <si>
    <t xml:space="preserve">Leitura: Produção concentra todos os 3 casos de prejuízo FREQUENTE e a maioria dos prejuízos ocasionais.</t>
  </si>
  <si>
    <t xml:space="preserve">3) Atua em Longas E Séries × Impacto percebido</t>
  </si>
  <si>
    <t xml:space="preserve">Atua em Longas E Séries?</t>
  </si>
  <si>
    <t xml:space="preserve">Impacto Alto</t>
  </si>
  <si>
    <t xml:space="preserve">Impacto Moderado</t>
  </si>
  <si>
    <t xml:space="preserve">% Alto</t>
  </si>
  <si>
    <t xml:space="preserve">Sim</t>
  </si>
  <si>
    <t xml:space="preserve">Não</t>
  </si>
  <si>
    <t xml:space="preserve">Leitura: quem produz Longas+Séries percebe impacto alto em 54,5% vs 36% dos demais — ICP confirmado.</t>
  </si>
  <si>
    <t xml:space="preserve">4) Stack tradicional × Ruído alto (notas 4-5)</t>
  </si>
  <si>
    <t xml:space="preserve">Stack usada</t>
  </si>
  <si>
    <t xml:space="preserve">Ruído 1-3</t>
  </si>
  <si>
    <t xml:space="preserve">Ruído 4-5</t>
  </si>
  <si>
    <t xml:space="preserve">% Ruído alto</t>
  </si>
  <si>
    <t xml:space="preserve">WhatsApp + Sheets + Drive (somente, sem ferramenta dedicada)</t>
  </si>
  <si>
    <t xml:space="preserve">Stack com alguma ferramenta dedicada (Frame.io, Notion, Movie Magic, Trello, Esferas)</t>
  </si>
  <si>
    <t xml:space="preserve">Leitura: stack tradicional reporta ruído alto ~3x mais (46,7% vs 14,3%) — indicação de melhora ao adotar plataforma dedicada.</t>
  </si>
  <si>
    <t xml:space="preserve">5) Aceita entrevista × Impacto percebido</t>
  </si>
  <si>
    <t xml:space="preserve">Aceita entrevista?</t>
  </si>
  <si>
    <t xml:space="preserve">Leitura: quem recusou entrevista vê impacto alto em proporção maior (66,7%) — possível alvo de discovery por forma curta/assíncrona.</t>
  </si>
  <si>
    <t xml:space="preserve">6) Região × Impacto percebido</t>
  </si>
  <si>
    <t xml:space="preserve">Leitura: percepção de impacto alto é consistente entre regiões (~40%) — a dor não é regional.</t>
  </si>
  <si>
    <t xml:space="preserve">Análise Qualitativa — Padrões e Citações</t>
  </si>
  <si>
    <t xml:space="preserve">Padrão</t>
  </si>
  <si>
    <t xml:space="preserve">Evidência</t>
  </si>
  <si>
    <t xml:space="preserve">Implicação para o CINEFLOW</t>
  </si>
  <si>
    <t xml:space="preserve">Volume de projetos heterogêneo e difícil de mensurar</t>
  </si>
  <si>
    <t xml:space="preserve">Respostas variam de '01' a '60 obras' com formatos livres ('Dois a três', '04 ou 05', 'Longos, 3. Curtos/publicidade, 15-20')</t>
  </si>
  <si>
    <t xml:space="preserve">A métrica 'projeto' não é padronizada no setor — o produto precisa permitir múltiplos tipos de projeto simultâneos e visões agregadas</t>
  </si>
  <si>
    <t xml:space="preserve">Dicotomia Longos × Curtos/Publicidade no mesmo profissional</t>
  </si>
  <si>
    <t xml:space="preserve">Caso 4 (Farkatt): 'Longos, 3. Curtos/publicidade, 15-20'; caso 21 (Auler): 'Corporativos: 25-30, Autoral: 0'</t>
  </si>
  <si>
    <t xml:space="preserve">Profissionais operam em múltiplos regimes simultaneamente — plataforma deve diferenciar projetos por tipo e ritmo</t>
  </si>
  <si>
    <t xml:space="preserve">Perfil 'proponente' como categoria à parte</t>
  </si>
  <si>
    <t xml:space="preserve">Caso 18 (Tábata): 'Meu perfil é diferente, sou proponente de projetos aprovados em editais, paralelamente organizo submissões...'</t>
  </si>
  <si>
    <t xml:space="preserve">Segmento adjacente: gestores de portfólio em editais. Possível módulo futuro: gestão de cronograma editalícia (prazos, contrapartidas, prestação pública)</t>
  </si>
  <si>
    <t xml:space="preserve">Auto-percepção de eficiência alta = baixo desperdício declarado</t>
  </si>
  <si>
    <t xml:space="preserve">Caso 12 (Katia Mesel): 'como concentro muito, desperdiço pouco tempo'</t>
  </si>
  <si>
    <t xml:space="preserve">Usuários muito experientes podem subestimar o desperdício — usar dados objetivos (timesheet automático) e não só auto-relato</t>
  </si>
  <si>
    <t xml:space="preserve">Ferramentas dedicadas concentradas em Pós-produção</t>
  </si>
  <si>
    <t xml:space="preserve">Frame.io e DaVinci só aparecem entre montadores/coloristas (casos 4, 5)</t>
  </si>
  <si>
    <t xml:space="preserve">Pós-produção já tem cultura de ferramenta dedicada; a oportunidade está mais clara em pré-produção e produção (logística, equipe, finanças)</t>
  </si>
  <si>
    <t xml:space="preserve">Empresa familiar / pessoal aparece como 'enquadramento'</t>
  </si>
  <si>
    <t xml:space="preserve">Caso 1: 'chicoamorim' colocado como enquadramento</t>
  </si>
  <si>
    <t xml:space="preserve">Sinaliza informalidade de parte do mercado — pricing deve contemplar planos individuais/MEI</t>
  </si>
  <si>
    <t xml:space="preserve">Stack quase universal de WhatsApp + Drive</t>
  </si>
  <si>
    <t xml:space="preserve">21/22 usam WhatsApp; 20/22 usam Google Drive — a única exceção (caso 22) usa apenas Drive</t>
  </si>
  <si>
    <t xml:space="preserve">Discurso de marketing pode atacar a dor da 'gestão por WhatsApp'; integração nativa com WhatsApp pode ser vetor de aquisição</t>
  </si>
  <si>
    <t xml:space="preserve">Reality/Documentário como nicho subatendido</t>
  </si>
  <si>
    <t xml:space="preserve">Caso 17 (Michelle): 'Reality e documentários' — único respondente do segmento</t>
  </si>
  <si>
    <t xml:space="preserve">Nicho potencialmente alto-valor com ciclos longos de produção e equipes grandes — investigar em rodada futura</t>
  </si>
  <si>
    <t xml:space="preserve">Insights para Validação do MVP CINEFLOW</t>
  </si>
  <si>
    <t xml:space="preserve">Conexão com hipóteses do produto</t>
  </si>
  <si>
    <t xml:space="preserve">Hipótese</t>
  </si>
  <si>
    <t xml:space="preserve">Status</t>
  </si>
  <si>
    <t xml:space="preserve">Recomendação</t>
  </si>
  <si>
    <t xml:space="preserve">H1 — Existe Problem-Solution Fit: produtoras audiovisuais não têm ferramenta integrada e perdem tempo/dinheiro</t>
  </si>
  <si>
    <t xml:space="preserve">VALIDADA</t>
  </si>
  <si>
    <t xml:space="preserve">72,7% perdem 5h+/semana; 36,4% já tiveram prejuízos em prestação de contas; 100% reconhecem valor de plataforma centralizada</t>
  </si>
  <si>
    <t xml:space="preserve">Avançar para a próxima fase (Solution Validation) com confiança</t>
  </si>
  <si>
    <t xml:space="preserve">H2 — O early adopter é o Produtor Executivo de produtora LTDA que faz Longas/Séries</t>
  </si>
  <si>
    <t xml:space="preserve">Produção concentra 11/22 (50%) dos respondentes; LTDA = 40,9%; Longas+Séries = 11 respondentes; impacto alto entre eles = 54,5%</t>
  </si>
  <si>
    <t xml:space="preserve">Definir ICP inicial: Produtor Executivo de LTDA com portfólio de Longas/Séries</t>
  </si>
  <si>
    <t xml:space="preserve">H3 — A dor 'prestação de contas' é tão (ou mais) importante quanto cronograma</t>
  </si>
  <si>
    <t xml:space="preserve">VALIDADA PARCIALMENTE</t>
  </si>
  <si>
    <t xml:space="preserve">36,4% já tiveram prejuízos; 13,6% frequentemente. Ruído de comunicação tem média 2,95; gestão de equipe média 3,09. Prestação é dor real mas latente.</t>
  </si>
  <si>
    <t xml:space="preserve">Posicionar prestação de contas como diferencial competitivo (não há concorrente direto); começar pelo módulo mais 'tangível' (Ordem do Dia)</t>
  </si>
  <si>
    <t xml:space="preserve">H4 — Stack atual (WhatsApp+Sheets+Drive) é dominante e gera ruído</t>
  </si>
  <si>
    <t xml:space="preserve">WhatsApp 95,5% + Drive 90,9% + Sheets 81,8%. Stack só genérica reporta ruído alto 3x mais que stack com ferramenta dedicada</t>
  </si>
  <si>
    <t xml:space="preserve">Aquisição deve falar 'fim do caos do WhatsApp' — linguagem que ressoa com o segmento</t>
  </si>
  <si>
    <t xml:space="preserve">H5 — Há disposição para mudança e para pagar pela solução</t>
  </si>
  <si>
    <t xml:space="preserve">INDÍCIOS POSITIVOS (não testado WTP)</t>
  </si>
  <si>
    <t xml:space="preserve">72,7% aceitam entrevista qualitativa; 100% veem impacto positivo; nenhum disse 'não preciso'</t>
  </si>
  <si>
    <t xml:space="preserve">Avançar para discovery individual (16 entrevistas qualificadas) e testar willingness-to-pay nessa rodada</t>
  </si>
  <si>
    <t xml:space="preserve">H6 — Mercado regional concentrado é viável para pré-incubação</t>
  </si>
  <si>
    <t xml:space="preserve">63,6% Nordeste (base do Porto Digital); 22,7% Sudeste cria ponte para mercado nacional</t>
  </si>
  <si>
    <t xml:space="preserve">Go-to-market: Recife/Nordeste como praça-piloto; usar Porto Digital como canal e vitrine</t>
  </si>
  <si>
    <t xml:space="preserve">Próximos passos sugeridos para a trilha Porto Digital</t>
  </si>
  <si>
    <t xml:space="preserve">1. Discovery qualitativo aprofundado</t>
  </si>
  <si>
    <t xml:space="preserve">Agendar as 16 entrevistas (lista na aba 'Discovery_Lista'). Foco em mapear o fluxo atual (jornada do dia de filmagem) e validar willingness-to-pay.</t>
  </si>
  <si>
    <t xml:space="preserve">2. Segmentação refinada do ICP</t>
  </si>
  <si>
    <t xml:space="preserve">Ampliar amostra com respondentes Sudeste/Sul. Meta: 60+ respostas, balanceadas por região.</t>
  </si>
  <si>
    <t xml:space="preserve">3. Protótipo low-fi do módulo 'Ordem do Dia interativa'</t>
  </si>
  <si>
    <t xml:space="preserve">Começar pela dor mais tangível e mais frequentemente citada. Validar usabilidade com 5-7 produtores executivos.</t>
  </si>
  <si>
    <t xml:space="preserve">4. Co-criação com early adopters</t>
  </si>
  <si>
    <t xml:space="preserve">Convidar 3-5 respondentes que combinam 'alto impacto + aceita entrevista + LTDA + Longas/Séries' como design partners.</t>
  </si>
  <si>
    <t xml:space="preserve">5. Plano de monetização</t>
  </si>
  <si>
    <t xml:space="preserve">Testar 3 faixas: individual (MEI/freelancer ~R$ 39/mês), produtora pequena (LTDA até 5 projetos ~R$ 199/mês), enterprise (&gt;10 projetos).</t>
  </si>
  <si>
    <t xml:space="preserve">6. Estratégia regional + Porto Digital</t>
  </si>
  <si>
    <t xml:space="preserve">Usar Porto Digital como vitrine institucional e canal de pilotos. Considerar parceria com ABPI-TV, SIAESP, APACI-PE.</t>
  </si>
  <si>
    <t xml:space="preserve">Lista priorizada para discovery qualitativo (n=16 que aceitaram)</t>
  </si>
  <si>
    <t xml:space="preserve">Prioridade</t>
  </si>
  <si>
    <t xml:space="preserve">Por que priorizar</t>
  </si>
  <si>
    <t xml:space="preserve">P1 — Crítica</t>
  </si>
  <si>
    <t xml:space="preserve">Adah lisboa (1ª resp.)</t>
  </si>
  <si>
    <t xml:space="preserve">—</t>
  </si>
  <si>
    <t xml:space="preserve">Ruído 5, prejuízos frequentes, +10h desperdiçadas, impacto alto</t>
  </si>
  <si>
    <t xml:space="preserve">Adah lisba (2ª resp.)</t>
  </si>
  <si>
    <t xml:space="preserve">Produtor Executivo (EPP)</t>
  </si>
  <si>
    <t xml:space="preserve">Possível duplicidade do registro anterior; Ruído 4, freq., gestão 5, +10h</t>
  </si>
  <si>
    <t xml:space="preserve">Coordenador de Produção (ME)</t>
  </si>
  <si>
    <t xml:space="preserve">Ruído 4, prejuízos frequentes, gestão 4, +10h, impacto alto</t>
  </si>
  <si>
    <t xml:space="preserve">Clarissa Dutra</t>
  </si>
  <si>
    <t xml:space="preserve">Diretor de Produção (ME)</t>
  </si>
  <si>
    <t xml:space="preserve">Ruído 5, ocasional prejuízo, gestão 4, +10h, impacto alto</t>
  </si>
  <si>
    <t xml:space="preserve">Francisco Amorim</t>
  </si>
  <si>
    <t xml:space="preserve">Ruído 5, gestão 5, 5-10h, impacto alto</t>
  </si>
  <si>
    <t xml:space="preserve">P2 — Alta</t>
  </si>
  <si>
    <t xml:space="preserve">Victor Jiménez (Tubah Filmes)</t>
  </si>
  <si>
    <t xml:space="preserve">Produtor Executivo (LTDA)</t>
  </si>
  <si>
    <t xml:space="preserve">Atua em Longas+Séries+Digital, prejuízo ocasional, stack só genérica</t>
  </si>
  <si>
    <t xml:space="preserve">Carlos Pereira (Carlota)</t>
  </si>
  <si>
    <t xml:space="preserve">Diretor/Roteirista/Arte (LTDA)</t>
  </si>
  <si>
    <t xml:space="preserve">Atua em TODOS os formatos, prejuízo ocasional, 5-10h</t>
  </si>
  <si>
    <t xml:space="preserve">Montador/sup. Pós (ME)</t>
  </si>
  <si>
    <t xml:space="preserve">Pós-produção experiente, mistura Longos+Curtos+Pub, usa Frame.io</t>
  </si>
  <si>
    <t xml:space="preserve">Assistente de Direção (LTDA)</t>
  </si>
  <si>
    <t xml:space="preserve">Reality/docs (segmento à parte), prejuízo ocasional</t>
  </si>
  <si>
    <t xml:space="preserve">Diretor (MEI)</t>
  </si>
  <si>
    <t xml:space="preserve">Fundador — calibração interna do produto</t>
  </si>
  <si>
    <t xml:space="preserve">P3 — Boa</t>
  </si>
  <si>
    <t xml:space="preserve">Tábata de Morais</t>
  </si>
  <si>
    <t xml:space="preserve">Roteirista (ME LTDA)</t>
  </si>
  <si>
    <t xml:space="preserve">Perfil 'proponente' — pode validar módulo de gestão de editais</t>
  </si>
  <si>
    <t xml:space="preserve">Pablo Menezes (Dubcolor)</t>
  </si>
  <si>
    <t xml:space="preserve">Colorista/Pós (ME)</t>
  </si>
  <si>
    <t xml:space="preserve">Volume alto (20 proj.), já usa Notion+Frame.io</t>
  </si>
  <si>
    <t xml:space="preserve">Produtora (ME)</t>
  </si>
  <si>
    <t xml:space="preserve">Única do Sul; já usa Movie Magic; +10h desperdiçadas</t>
  </si>
  <si>
    <t xml:space="preserve">Túlio Bambino</t>
  </si>
  <si>
    <t xml:space="preserve">Assistente de Direção (MEI)</t>
  </si>
  <si>
    <t xml:space="preserve">Voz operacional do set (AD); perfil júnior</t>
  </si>
  <si>
    <t xml:space="preserve">Katia Mesel</t>
  </si>
  <si>
    <t xml:space="preserve">Roteirista/Diretora/Arte/Produtora (LTDA)</t>
  </si>
  <si>
    <t xml:space="preserve">Perfil sênior multifuncional; baixa percepção de dor mas alto volume</t>
  </si>
  <si>
    <t xml:space="preserve">Sudeste, 6 projetos, stack simples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</si>
</sst>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Distribuição regional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Freq_Perfil!$A$13:$A$16</c:f>
              <c:strCache>
                <c:ptCount val="4"/>
                <c:pt idx="0">
                  <c:v>Nordeste</c:v>
                </c:pt>
                <c:pt idx="1">
                  <c:v>Sudeste</c:v>
                </c:pt>
                <c:pt idx="2">
                  <c:v>Sul</c:v>
                </c:pt>
                <c:pt idx="3">
                  <c:v>Não informado</c:v>
                </c:pt>
              </c:strCache>
            </c:strRef>
          </c:cat>
          <c:val>
            <c:numRef>
              <c:f>Freq_Perfil!$B$13:$B$16</c:f>
              <c:numCache>
                <c:formatCode>General</c:formatCode>
                <c:ptCount val="4"/>
                <c:pt idx="0">
                  <c:v>14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Função principal (n)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Freq_Perfil!$A$5:$A$8</c:f>
              <c:strCache>
                <c:ptCount val="4"/>
                <c:pt idx="0">
                  <c:v>Produção (Executivo/Coord/Diretor de Produção)</c:v>
                </c:pt>
                <c:pt idx="1">
                  <c:v>Direção / Assistência de Direção</c:v>
                </c:pt>
                <c:pt idx="2">
                  <c:v>Roteiro / Direção criativa</c:v>
                </c:pt>
                <c:pt idx="3">
                  <c:v>Pós-produção / Montagem / Cor</c:v>
                </c:pt>
              </c:strCache>
            </c:strRef>
          </c:cat>
          <c:val>
            <c:numRef>
              <c:f>Freq_Perfil!$B$5:$B$8</c:f>
              <c:numCache>
                <c:formatCode>General</c:formatCode>
                <c:ptCount val="4"/>
                <c:pt idx="0">
                  <c:v>11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</c:ser>
        <c:gapWidth val="150"/>
        <c:overlap val="0"/>
        <c:axId val="87840646"/>
        <c:axId val="4145180"/>
      </c:barChart>
      <c:catAx>
        <c:axId val="878406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45180"/>
        <c:crosses val="autoZero"/>
        <c:auto val="1"/>
        <c:lblAlgn val="ctr"/>
        <c:lblOffset val="100"/>
        <c:noMultiLvlLbl val="0"/>
      </c:catAx>
      <c:valAx>
        <c:axId val="41451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8406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Ruído comunicação (1-5)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Freq_Dores!$A$5:$A$9</c:f>
              <c:strCache>
                <c:ptCount val="5"/>
                <c:pt idx="0">
                  <c:v>1 — Nunca</c:v>
                </c:pt>
                <c:pt idx="1">
                  <c:v>2 — Raro</c:v>
                </c:pt>
                <c:pt idx="2">
                  <c:v>3 — Às vezes</c:v>
                </c:pt>
                <c:pt idx="3">
                  <c:v>4 — Frequente</c:v>
                </c:pt>
                <c:pt idx="4">
                  <c:v>5 — Sempre</c:v>
                </c:pt>
              </c:strCache>
            </c:strRef>
          </c:cat>
          <c:val>
            <c:numRef>
              <c:f>Freq_Dores!$B$5:$B$9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</c:ser>
        <c:gapWidth val="150"/>
        <c:overlap val="0"/>
        <c:axId val="37841432"/>
        <c:axId val="69785733"/>
      </c:barChart>
      <c:catAx>
        <c:axId val="37841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785733"/>
        <c:crosses val="autoZero"/>
        <c:auto val="1"/>
        <c:lblAlgn val="ctr"/>
        <c:lblOffset val="100"/>
        <c:noMultiLvlLbl val="0"/>
      </c:catAx>
      <c:valAx>
        <c:axId val="69785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8414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Já teve prejuízos na prestação de contas?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Freq_Dores!$A$14:$A$17</c:f>
              <c:strCache>
                <c:ptCount val="4"/>
                <c:pt idx="0">
                  <c:v>Nunca tive problemas</c:v>
                </c:pt>
                <c:pt idx="1">
                  <c:v>Raramente</c:v>
                </c:pt>
                <c:pt idx="2">
                  <c:v>Sim, ocasionalmente</c:v>
                </c:pt>
                <c:pt idx="3">
                  <c:v>Sim, frequentemente</c:v>
                </c:pt>
              </c:strCache>
            </c:strRef>
          </c:cat>
          <c:val>
            <c:numRef>
              <c:f>Freq_Dores!$B$14:$B$17</c:f>
              <c:numCache>
                <c:formatCode>General</c:formatCode>
                <c:ptCount val="4"/>
                <c:pt idx="0">
                  <c:v>4</c:v>
                </c:pt>
                <c:pt idx="1">
                  <c:v>10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Tempo desperdiçado/semana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Freq_Dores!$A$31:$A$34</c:f>
              <c:strCache>
                <c:ptCount val="4"/>
                <c:pt idx="0">
                  <c:v>Menos de 5 horas</c:v>
                </c:pt>
                <c:pt idx="1">
                  <c:v>De 5 a 10 horas</c:v>
                </c:pt>
                <c:pt idx="2">
                  <c:v>Mais de 10 horas</c:v>
                </c:pt>
                <c:pt idx="3">
                  <c:v>N/A (perfil diferente)</c:v>
                </c:pt>
              </c:strCache>
            </c:strRef>
          </c:cat>
          <c:val>
            <c:numRef>
              <c:f>Freq_Dores!$B$31:$B$34</c:f>
              <c:numCache>
                <c:formatCode>General</c:formatCode>
                <c:ptCount val="4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70826923"/>
        <c:axId val="87389110"/>
      </c:barChart>
      <c:catAx>
        <c:axId val="708269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389110"/>
        <c:crosses val="autoZero"/>
        <c:auto val="1"/>
        <c:lblAlgn val="ctr"/>
        <c:lblOffset val="100"/>
        <c:noMultiLvlLbl val="0"/>
      </c:catAx>
      <c:valAx>
        <c:axId val="873891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8269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Adoção de ferramentas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Freq_Ferramentas!$A$4:$A$12</c:f>
              <c:strCache>
                <c:ptCount val="9"/>
                <c:pt idx="0">
                  <c:v>WhatsApp</c:v>
                </c:pt>
                <c:pt idx="1">
                  <c:v>Google Drive</c:v>
                </c:pt>
                <c:pt idx="2">
                  <c:v>Planilhas Excel / Google Sheets</c:v>
                </c:pt>
                <c:pt idx="3">
                  <c:v>Notion</c:v>
                </c:pt>
                <c:pt idx="4">
                  <c:v>Trello</c:v>
                </c:pt>
                <c:pt idx="5">
                  <c:v>Frame.io</c:v>
                </c:pt>
                <c:pt idx="6">
                  <c:v>Movie Magic</c:v>
                </c:pt>
                <c:pt idx="7">
                  <c:v>DaVinci Resolve</c:v>
                </c:pt>
                <c:pt idx="8">
                  <c:v>Esferas</c:v>
                </c:pt>
              </c:strCache>
            </c:strRef>
          </c:cat>
          <c:val>
            <c:numRef>
              <c:f>Freq_Ferramentas!$B$4:$B$12</c:f>
              <c:numCache>
                <c:formatCode>General</c:formatCode>
                <c:ptCount val="9"/>
                <c:pt idx="0">
                  <c:v>21</c:v>
                </c:pt>
                <c:pt idx="1">
                  <c:v>20</c:v>
                </c:pt>
                <c:pt idx="2">
                  <c:v>18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gapWidth val="150"/>
        <c:overlap val="0"/>
        <c:axId val="51808566"/>
        <c:axId val="15064216"/>
      </c:barChart>
      <c:catAx>
        <c:axId val="518085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064216"/>
        <c:crosses val="autoZero"/>
        <c:auto val="1"/>
        <c:lblAlgn val="ctr"/>
        <c:lblOffset val="100"/>
        <c:noMultiLvlLbl val="0"/>
      </c:catAx>
      <c:valAx>
        <c:axId val="150642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8085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10</xdr:row>
      <xdr:rowOff>0</xdr:rowOff>
    </xdr:from>
    <xdr:to>
      <xdr:col>12</xdr:col>
      <xdr:colOff>38880</xdr:colOff>
      <xdr:row>24</xdr:row>
      <xdr:rowOff>41400</xdr:rowOff>
    </xdr:to>
    <xdr:graphicFrame>
      <xdr:nvGraphicFramePr>
        <xdr:cNvPr id="1" name="Chart 1"/>
        <xdr:cNvGraphicFramePr/>
      </xdr:nvGraphicFramePr>
      <xdr:xfrm>
        <a:off x="9210600" y="2265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</xdr:row>
      <xdr:rowOff>0</xdr:rowOff>
    </xdr:from>
    <xdr:to>
      <xdr:col>12</xdr:col>
      <xdr:colOff>38880</xdr:colOff>
      <xdr:row>15</xdr:row>
      <xdr:rowOff>119160</xdr:rowOff>
    </xdr:to>
    <xdr:graphicFrame>
      <xdr:nvGraphicFramePr>
        <xdr:cNvPr id="2" name="Chart 2"/>
        <xdr:cNvGraphicFramePr/>
      </xdr:nvGraphicFramePr>
      <xdr:xfrm>
        <a:off x="9210600" y="542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13</xdr:col>
      <xdr:colOff>38880</xdr:colOff>
      <xdr:row>12</xdr:row>
      <xdr:rowOff>491400</xdr:rowOff>
    </xdr:to>
    <xdr:graphicFrame>
      <xdr:nvGraphicFramePr>
        <xdr:cNvPr id="3" name="Chart 1"/>
        <xdr:cNvGraphicFramePr/>
      </xdr:nvGraphicFramePr>
      <xdr:xfrm>
        <a:off x="9210600" y="542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13</xdr:col>
      <xdr:colOff>38880</xdr:colOff>
      <xdr:row>29</xdr:row>
      <xdr:rowOff>491400</xdr:rowOff>
    </xdr:to>
    <xdr:graphicFrame>
      <xdr:nvGraphicFramePr>
        <xdr:cNvPr id="4" name="Chart 2"/>
        <xdr:cNvGraphicFramePr/>
      </xdr:nvGraphicFramePr>
      <xdr:xfrm>
        <a:off x="9210600" y="45763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36</xdr:row>
      <xdr:rowOff>0</xdr:rowOff>
    </xdr:from>
    <xdr:to>
      <xdr:col>13</xdr:col>
      <xdr:colOff>38880</xdr:colOff>
      <xdr:row>46</xdr:row>
      <xdr:rowOff>67320</xdr:rowOff>
    </xdr:to>
    <xdr:graphicFrame>
      <xdr:nvGraphicFramePr>
        <xdr:cNvPr id="5" name="Chart 3"/>
        <xdr:cNvGraphicFramePr/>
      </xdr:nvGraphicFramePr>
      <xdr:xfrm>
        <a:off x="9210600" y="8610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13</xdr:col>
      <xdr:colOff>147600</xdr:colOff>
      <xdr:row>20</xdr:row>
      <xdr:rowOff>170640</xdr:rowOff>
    </xdr:to>
    <xdr:graphicFrame>
      <xdr:nvGraphicFramePr>
        <xdr:cNvPr id="6" name="Chart 1"/>
        <xdr:cNvGraphicFramePr/>
      </xdr:nvGraphicFramePr>
      <xdr:xfrm>
        <a:off x="9492480" y="542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5"/>
    <col collapsed="false" customWidth="true" hidden="false" outlineLevel="0" max="4" min="3" style="0" width="2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n">
        <v>22</v>
      </c>
    </row>
    <row r="7" customFormat="false" ht="15" hidden="false" customHeight="false" outlineLevel="0" collapsed="false">
      <c r="A7" s="2" t="s">
        <v>8</v>
      </c>
      <c r="B7" s="3" t="s">
        <v>9</v>
      </c>
    </row>
    <row r="8" customFormat="false" ht="15" hidden="false" customHeight="false" outlineLevel="0" collapsed="false">
      <c r="A8" s="2" t="s">
        <v>10</v>
      </c>
      <c r="B8" s="3" t="s">
        <v>11</v>
      </c>
    </row>
    <row r="10" customFormat="false" ht="21.75" hidden="false" customHeight="true" outlineLevel="0" collapsed="false">
      <c r="A10" s="4" t="s">
        <v>12</v>
      </c>
      <c r="B10" s="4"/>
      <c r="C10" s="4"/>
      <c r="D10" s="4"/>
    </row>
    <row r="11" customFormat="false" ht="31.5" hidden="false" customHeight="true" outlineLevel="0" collapsed="false">
      <c r="A11" s="5" t="s">
        <v>13</v>
      </c>
      <c r="B11" s="6" t="s">
        <v>14</v>
      </c>
      <c r="C11" s="6"/>
      <c r="D11" s="6"/>
    </row>
    <row r="12" customFormat="false" ht="31.5" hidden="false" customHeight="true" outlineLevel="0" collapsed="false">
      <c r="A12" s="5" t="s">
        <v>15</v>
      </c>
      <c r="B12" s="6" t="s">
        <v>16</v>
      </c>
      <c r="C12" s="6"/>
      <c r="D12" s="6"/>
    </row>
    <row r="13" customFormat="false" ht="31.5" hidden="false" customHeight="true" outlineLevel="0" collapsed="false">
      <c r="A13" s="5" t="s">
        <v>17</v>
      </c>
      <c r="B13" s="6" t="s">
        <v>18</v>
      </c>
      <c r="C13" s="6"/>
      <c r="D13" s="6"/>
    </row>
    <row r="14" customFormat="false" ht="31.5" hidden="false" customHeight="true" outlineLevel="0" collapsed="false">
      <c r="A14" s="5" t="s">
        <v>19</v>
      </c>
      <c r="B14" s="6" t="s">
        <v>20</v>
      </c>
      <c r="C14" s="6"/>
      <c r="D14" s="6"/>
    </row>
    <row r="15" customFormat="false" ht="31.5" hidden="false" customHeight="true" outlineLevel="0" collapsed="false">
      <c r="A15" s="5" t="s">
        <v>21</v>
      </c>
      <c r="B15" s="6" t="s">
        <v>22</v>
      </c>
      <c r="C15" s="6"/>
      <c r="D15" s="6"/>
    </row>
    <row r="16" customFormat="false" ht="31.5" hidden="false" customHeight="true" outlineLevel="0" collapsed="false">
      <c r="A16" s="5" t="s">
        <v>23</v>
      </c>
      <c r="B16" s="6" t="s">
        <v>24</v>
      </c>
      <c r="C16" s="6"/>
      <c r="D16" s="6"/>
    </row>
    <row r="17" customFormat="false" ht="31.5" hidden="false" customHeight="true" outlineLevel="0" collapsed="false">
      <c r="A17" s="5" t="s">
        <v>25</v>
      </c>
      <c r="B17" s="6" t="s">
        <v>26</v>
      </c>
      <c r="C17" s="6"/>
      <c r="D17" s="6"/>
    </row>
  </sheetData>
  <mergeCells count="9">
    <mergeCell ref="A1:D1"/>
    <mergeCell ref="A10:D10"/>
    <mergeCell ref="B11:D11"/>
    <mergeCell ref="B12:D12"/>
    <mergeCell ref="B13:D13"/>
    <mergeCell ref="B14:D14"/>
    <mergeCell ref="B15:D15"/>
    <mergeCell ref="B16:D16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80"/>
  </cols>
  <sheetData>
    <row r="1" customFormat="false" ht="27.75" hidden="false" customHeight="true" outlineLevel="0" collapsed="false">
      <c r="A1" s="1" t="s">
        <v>27</v>
      </c>
      <c r="B1" s="1"/>
      <c r="C1" s="1"/>
    </row>
    <row r="3" customFormat="false" ht="15" hidden="false" customHeight="false" outlineLevel="0" collapsed="false">
      <c r="A3" s="7" t="s">
        <v>28</v>
      </c>
      <c r="B3" s="7" t="s">
        <v>29</v>
      </c>
      <c r="C3" s="7" t="s">
        <v>30</v>
      </c>
    </row>
    <row r="4" customFormat="false" ht="15" hidden="false" customHeight="false" outlineLevel="0" collapsed="false">
      <c r="A4" s="8" t="s">
        <v>31</v>
      </c>
      <c r="B4" s="9" t="s">
        <v>32</v>
      </c>
      <c r="C4" s="10" t="s">
        <v>33</v>
      </c>
    </row>
    <row r="5" customFormat="false" ht="15" hidden="false" customHeight="false" outlineLevel="0" collapsed="false">
      <c r="A5" s="11" t="s">
        <v>34</v>
      </c>
      <c r="B5" s="12" t="s">
        <v>35</v>
      </c>
      <c r="C5" s="13" t="s">
        <v>36</v>
      </c>
    </row>
    <row r="6" customFormat="false" ht="15" hidden="false" customHeight="false" outlineLevel="0" collapsed="false">
      <c r="A6" s="8" t="s">
        <v>37</v>
      </c>
      <c r="B6" s="9" t="s">
        <v>38</v>
      </c>
      <c r="C6" s="10" t="s">
        <v>39</v>
      </c>
    </row>
    <row r="7" customFormat="false" ht="15" hidden="false" customHeight="false" outlineLevel="0" collapsed="false">
      <c r="A7" s="11" t="s">
        <v>40</v>
      </c>
      <c r="B7" s="13" t="s">
        <v>41</v>
      </c>
      <c r="C7" s="13" t="s">
        <v>42</v>
      </c>
    </row>
    <row r="8" customFormat="false" ht="15" hidden="false" customHeight="false" outlineLevel="0" collapsed="false">
      <c r="A8" s="8" t="s">
        <v>43</v>
      </c>
      <c r="B8" s="9" t="s">
        <v>38</v>
      </c>
      <c r="C8" s="10" t="s">
        <v>44</v>
      </c>
    </row>
    <row r="9" customFormat="false" ht="15" hidden="false" customHeight="false" outlineLevel="0" collapsed="false">
      <c r="A9" s="11" t="s">
        <v>45</v>
      </c>
      <c r="B9" s="12" t="s">
        <v>38</v>
      </c>
      <c r="C9" s="13" t="s">
        <v>46</v>
      </c>
    </row>
    <row r="10" customFormat="false" ht="15" hidden="false" customHeight="false" outlineLevel="0" collapsed="false">
      <c r="A10" s="14" t="s">
        <v>47</v>
      </c>
      <c r="B10" s="9" t="s">
        <v>48</v>
      </c>
      <c r="C10" s="10" t="s">
        <v>49</v>
      </c>
    </row>
    <row r="11" customFormat="false" ht="15" hidden="false" customHeight="false" outlineLevel="0" collapsed="false">
      <c r="A11" s="15" t="s">
        <v>50</v>
      </c>
      <c r="B11" s="12" t="s">
        <v>51</v>
      </c>
      <c r="C11" s="13" t="s">
        <v>52</v>
      </c>
    </row>
    <row r="12" customFormat="false" ht="15" hidden="false" customHeight="false" outlineLevel="0" collapsed="false">
      <c r="A12" s="14" t="s">
        <v>53</v>
      </c>
      <c r="B12" s="9" t="s">
        <v>54</v>
      </c>
      <c r="C12" s="10" t="s">
        <v>55</v>
      </c>
    </row>
    <row r="13" customFormat="false" ht="15" hidden="false" customHeight="false" outlineLevel="0" collapsed="false">
      <c r="A13" s="11" t="s">
        <v>56</v>
      </c>
      <c r="B13" s="12" t="s">
        <v>51</v>
      </c>
      <c r="C13" s="13" t="s">
        <v>57</v>
      </c>
    </row>
    <row r="14" customFormat="false" ht="15" hidden="false" customHeight="false" outlineLevel="0" collapsed="false">
      <c r="A14" s="14" t="s">
        <v>58</v>
      </c>
      <c r="B14" s="10" t="s">
        <v>59</v>
      </c>
      <c r="C14" s="10" t="s">
        <v>60</v>
      </c>
    </row>
    <row r="15" customFormat="false" ht="15" hidden="false" customHeight="false" outlineLevel="0" collapsed="false">
      <c r="A15" s="15" t="s">
        <v>61</v>
      </c>
      <c r="B15" s="12" t="s">
        <v>48</v>
      </c>
      <c r="C15" s="13" t="s">
        <v>62</v>
      </c>
    </row>
    <row r="16" customFormat="false" ht="15" hidden="false" customHeight="false" outlineLevel="0" collapsed="false">
      <c r="A16" s="14" t="s">
        <v>63</v>
      </c>
      <c r="B16" s="10" t="s">
        <v>59</v>
      </c>
      <c r="C16" s="10" t="s">
        <v>64</v>
      </c>
    </row>
    <row r="17" customFormat="false" ht="15" hidden="false" customHeight="false" outlineLevel="0" collapsed="false">
      <c r="A17" s="15" t="s">
        <v>65</v>
      </c>
      <c r="B17" s="12" t="s">
        <v>48</v>
      </c>
      <c r="C17" s="13" t="s">
        <v>66</v>
      </c>
    </row>
    <row r="18" customFormat="false" ht="15" hidden="false" customHeight="false" outlineLevel="0" collapsed="false">
      <c r="A18" s="14" t="s">
        <v>67</v>
      </c>
      <c r="B18" s="9" t="s">
        <v>48</v>
      </c>
      <c r="C18" s="10" t="s">
        <v>68</v>
      </c>
    </row>
    <row r="19" customFormat="false" ht="15" hidden="false" customHeight="false" outlineLevel="0" collapsed="false">
      <c r="A19" s="15" t="s">
        <v>69</v>
      </c>
      <c r="B19" s="12" t="s">
        <v>70</v>
      </c>
      <c r="C19" s="13" t="s">
        <v>71</v>
      </c>
    </row>
    <row r="20" customFormat="false" ht="15" hidden="false" customHeight="false" outlineLevel="0" collapsed="false">
      <c r="A20" s="8" t="s">
        <v>72</v>
      </c>
      <c r="B20" s="9" t="s">
        <v>48</v>
      </c>
      <c r="C20" s="10" t="s">
        <v>73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7" min="6" style="0" width="16"/>
    <col collapsed="false" customWidth="true" hidden="false" outlineLevel="0" max="8" min="8" style="0" width="28"/>
    <col collapsed="false" customWidth="true" hidden="false" outlineLevel="0" max="9" min="9" style="0" width="18"/>
    <col collapsed="false" customWidth="true" hidden="false" outlineLevel="0" max="10" min="10" style="0" width="32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8"/>
    <col collapsed="false" customWidth="true" hidden="false" outlineLevel="0" max="17" min="17" style="0" width="12"/>
  </cols>
  <sheetData>
    <row r="1" customFormat="false" ht="27.75" hidden="false" customHeight="true" outlineLevel="0" collapsed="false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customFormat="false" ht="52.2" hidden="false" customHeight="false" outlineLevel="0" collapsed="false">
      <c r="A3" s="7" t="s">
        <v>31</v>
      </c>
      <c r="B3" s="7" t="s">
        <v>34</v>
      </c>
      <c r="C3" s="7" t="s">
        <v>37</v>
      </c>
      <c r="D3" s="7" t="s">
        <v>40</v>
      </c>
      <c r="E3" s="7" t="s">
        <v>43</v>
      </c>
      <c r="F3" s="7" t="s">
        <v>45</v>
      </c>
      <c r="G3" s="7" t="s">
        <v>47</v>
      </c>
      <c r="H3" s="7" t="s">
        <v>50</v>
      </c>
      <c r="I3" s="7" t="s">
        <v>53</v>
      </c>
      <c r="J3" s="7" t="s">
        <v>56</v>
      </c>
      <c r="K3" s="7" t="s">
        <v>58</v>
      </c>
      <c r="L3" s="7" t="s">
        <v>61</v>
      </c>
      <c r="M3" s="7" t="s">
        <v>63</v>
      </c>
      <c r="N3" s="7" t="s">
        <v>65</v>
      </c>
      <c r="O3" s="7" t="s">
        <v>67</v>
      </c>
      <c r="P3" s="7" t="s">
        <v>69</v>
      </c>
      <c r="Q3" s="7" t="s">
        <v>72</v>
      </c>
    </row>
    <row r="4" customFormat="false" ht="35.05" hidden="false" customHeight="false" outlineLevel="0" collapsed="false">
      <c r="A4" s="8" t="n">
        <v>1</v>
      </c>
      <c r="B4" s="10" t="s">
        <v>75</v>
      </c>
      <c r="C4" s="10" t="s">
        <v>76</v>
      </c>
      <c r="D4" s="10" t="s">
        <v>77</v>
      </c>
      <c r="E4" s="10" t="s">
        <v>78</v>
      </c>
      <c r="F4" s="9" t="s">
        <v>79</v>
      </c>
      <c r="G4" s="9" t="s">
        <v>80</v>
      </c>
      <c r="H4" s="10" t="s">
        <v>81</v>
      </c>
      <c r="I4" s="9" t="s">
        <v>82</v>
      </c>
      <c r="J4" s="10" t="s">
        <v>83</v>
      </c>
      <c r="K4" s="9" t="n">
        <v>5</v>
      </c>
      <c r="L4" s="9" t="s">
        <v>84</v>
      </c>
      <c r="M4" s="9" t="n">
        <v>5</v>
      </c>
      <c r="N4" s="9" t="s">
        <v>85</v>
      </c>
      <c r="O4" s="10" t="s">
        <v>86</v>
      </c>
      <c r="P4" s="9" t="s">
        <v>87</v>
      </c>
      <c r="Q4" s="9"/>
    </row>
    <row r="5" customFormat="false" ht="35.05" hidden="false" customHeight="false" outlineLevel="0" collapsed="false">
      <c r="A5" s="11" t="n">
        <v>2</v>
      </c>
      <c r="B5" s="13" t="s">
        <v>88</v>
      </c>
      <c r="C5" s="12" t="s">
        <v>89</v>
      </c>
      <c r="D5" s="13" t="s">
        <v>77</v>
      </c>
      <c r="E5" s="13" t="s">
        <v>90</v>
      </c>
      <c r="F5" s="12"/>
      <c r="G5" s="12"/>
      <c r="H5" s="12" t="s">
        <v>91</v>
      </c>
      <c r="I5" s="12" t="s">
        <v>92</v>
      </c>
      <c r="J5" s="13" t="s">
        <v>83</v>
      </c>
      <c r="K5" s="12" t="n">
        <v>5</v>
      </c>
      <c r="L5" s="13" t="s">
        <v>93</v>
      </c>
      <c r="M5" s="12" t="n">
        <v>3</v>
      </c>
      <c r="N5" s="13" t="s">
        <v>94</v>
      </c>
      <c r="O5" s="13" t="s">
        <v>86</v>
      </c>
      <c r="P5" s="12" t="s">
        <v>87</v>
      </c>
      <c r="Q5" s="12"/>
    </row>
    <row r="6" customFormat="false" ht="35.05" hidden="false" customHeight="false" outlineLevel="0" collapsed="false">
      <c r="A6" s="8" t="n">
        <v>3</v>
      </c>
      <c r="B6" s="10" t="s">
        <v>95</v>
      </c>
      <c r="C6" s="9" t="s">
        <v>96</v>
      </c>
      <c r="D6" s="10" t="s">
        <v>97</v>
      </c>
      <c r="E6" s="10" t="s">
        <v>98</v>
      </c>
      <c r="F6" s="9" t="s">
        <v>99</v>
      </c>
      <c r="G6" s="9" t="s">
        <v>100</v>
      </c>
      <c r="H6" s="10" t="s">
        <v>101</v>
      </c>
      <c r="I6" s="9" t="s">
        <v>102</v>
      </c>
      <c r="J6" s="10" t="s">
        <v>83</v>
      </c>
      <c r="K6" s="9" t="n">
        <v>1</v>
      </c>
      <c r="L6" s="9" t="s">
        <v>84</v>
      </c>
      <c r="M6" s="9" t="n">
        <v>3</v>
      </c>
      <c r="N6" s="9" t="s">
        <v>85</v>
      </c>
      <c r="O6" s="10" t="s">
        <v>86</v>
      </c>
      <c r="P6" s="9" t="s">
        <v>103</v>
      </c>
      <c r="Q6" s="9" t="s">
        <v>104</v>
      </c>
    </row>
    <row r="7" customFormat="false" ht="35.05" hidden="false" customHeight="false" outlineLevel="0" collapsed="false">
      <c r="A7" s="11" t="n">
        <v>4</v>
      </c>
      <c r="B7" s="13" t="s">
        <v>105</v>
      </c>
      <c r="C7" s="12" t="s">
        <v>106</v>
      </c>
      <c r="D7" s="13" t="s">
        <v>107</v>
      </c>
      <c r="E7" s="13" t="s">
        <v>108</v>
      </c>
      <c r="F7" s="12"/>
      <c r="G7" s="13" t="s">
        <v>109</v>
      </c>
      <c r="H7" s="13" t="s">
        <v>110</v>
      </c>
      <c r="I7" s="13" t="s">
        <v>111</v>
      </c>
      <c r="J7" s="13" t="s">
        <v>112</v>
      </c>
      <c r="K7" s="12" t="n">
        <v>3</v>
      </c>
      <c r="L7" s="12" t="s">
        <v>84</v>
      </c>
      <c r="M7" s="12" t="n">
        <v>3</v>
      </c>
      <c r="N7" s="12" t="s">
        <v>85</v>
      </c>
      <c r="O7" s="13" t="s">
        <v>113</v>
      </c>
      <c r="P7" s="12" t="s">
        <v>87</v>
      </c>
      <c r="Q7" s="12" t="s">
        <v>104</v>
      </c>
    </row>
    <row r="8" customFormat="false" ht="35.05" hidden="false" customHeight="false" outlineLevel="0" collapsed="false">
      <c r="A8" s="8" t="n">
        <v>5</v>
      </c>
      <c r="B8" s="10" t="s">
        <v>114</v>
      </c>
      <c r="C8" s="10" t="s">
        <v>115</v>
      </c>
      <c r="D8" s="10" t="s">
        <v>116</v>
      </c>
      <c r="E8" s="10" t="s">
        <v>117</v>
      </c>
      <c r="F8" s="9" t="s">
        <v>118</v>
      </c>
      <c r="G8" s="10" t="s">
        <v>109</v>
      </c>
      <c r="H8" s="10" t="s">
        <v>119</v>
      </c>
      <c r="I8" s="9" t="s">
        <v>120</v>
      </c>
      <c r="J8" s="10" t="s">
        <v>121</v>
      </c>
      <c r="K8" s="9" t="n">
        <v>2</v>
      </c>
      <c r="L8" s="10" t="s">
        <v>122</v>
      </c>
      <c r="M8" s="9" t="n">
        <v>3</v>
      </c>
      <c r="N8" s="10" t="s">
        <v>123</v>
      </c>
      <c r="O8" s="10" t="s">
        <v>113</v>
      </c>
      <c r="P8" s="9" t="s">
        <v>87</v>
      </c>
      <c r="Q8" s="9" t="s">
        <v>104</v>
      </c>
    </row>
    <row r="9" customFormat="false" ht="35.05" hidden="false" customHeight="false" outlineLevel="0" collapsed="false">
      <c r="A9" s="11" t="n">
        <v>6</v>
      </c>
      <c r="B9" s="13" t="s">
        <v>124</v>
      </c>
      <c r="C9" s="13" t="s">
        <v>125</v>
      </c>
      <c r="D9" s="13" t="s">
        <v>126</v>
      </c>
      <c r="E9" s="13" t="s">
        <v>127</v>
      </c>
      <c r="F9" s="12" t="s">
        <v>128</v>
      </c>
      <c r="G9" s="12" t="s">
        <v>100</v>
      </c>
      <c r="H9" s="13" t="s">
        <v>129</v>
      </c>
      <c r="I9" s="12" t="s">
        <v>92</v>
      </c>
      <c r="J9" s="13" t="s">
        <v>130</v>
      </c>
      <c r="K9" s="12" t="n">
        <v>3</v>
      </c>
      <c r="L9" s="13" t="s">
        <v>122</v>
      </c>
      <c r="M9" s="12" t="n">
        <v>3</v>
      </c>
      <c r="N9" s="12" t="s">
        <v>85</v>
      </c>
      <c r="O9" s="13" t="s">
        <v>113</v>
      </c>
      <c r="P9" s="12" t="s">
        <v>87</v>
      </c>
      <c r="Q9" s="12" t="s">
        <v>104</v>
      </c>
    </row>
    <row r="10" customFormat="false" ht="35.05" hidden="false" customHeight="false" outlineLevel="0" collapsed="false">
      <c r="A10" s="8" t="n">
        <v>7</v>
      </c>
      <c r="B10" s="10" t="s">
        <v>131</v>
      </c>
      <c r="C10" s="10" t="s">
        <v>132</v>
      </c>
      <c r="D10" s="10" t="s">
        <v>133</v>
      </c>
      <c r="E10" s="10" t="s">
        <v>134</v>
      </c>
      <c r="F10" s="9" t="s">
        <v>135</v>
      </c>
      <c r="G10" s="9" t="s">
        <v>136</v>
      </c>
      <c r="H10" s="10" t="s">
        <v>137</v>
      </c>
      <c r="I10" s="9" t="s">
        <v>102</v>
      </c>
      <c r="J10" s="10" t="s">
        <v>138</v>
      </c>
      <c r="K10" s="9" t="n">
        <v>2</v>
      </c>
      <c r="L10" s="9" t="s">
        <v>84</v>
      </c>
      <c r="M10" s="9" t="n">
        <v>3</v>
      </c>
      <c r="N10" s="9" t="s">
        <v>85</v>
      </c>
      <c r="O10" s="10" t="s">
        <v>113</v>
      </c>
      <c r="P10" s="9" t="s">
        <v>87</v>
      </c>
      <c r="Q10" s="9" t="s">
        <v>139</v>
      </c>
    </row>
    <row r="11" customFormat="false" ht="35.05" hidden="false" customHeight="false" outlineLevel="0" collapsed="false">
      <c r="A11" s="11" t="n">
        <v>8</v>
      </c>
      <c r="B11" s="13" t="s">
        <v>140</v>
      </c>
      <c r="C11" s="12" t="s">
        <v>141</v>
      </c>
      <c r="D11" s="13" t="s">
        <v>77</v>
      </c>
      <c r="E11" s="13" t="s">
        <v>90</v>
      </c>
      <c r="F11" s="12"/>
      <c r="G11" s="12" t="s">
        <v>142</v>
      </c>
      <c r="H11" s="12" t="s">
        <v>91</v>
      </c>
      <c r="I11" s="12" t="s">
        <v>92</v>
      </c>
      <c r="J11" s="13" t="s">
        <v>143</v>
      </c>
      <c r="K11" s="12" t="n">
        <v>4</v>
      </c>
      <c r="L11" s="13" t="s">
        <v>93</v>
      </c>
      <c r="M11" s="12" t="n">
        <v>5</v>
      </c>
      <c r="N11" s="13" t="s">
        <v>94</v>
      </c>
      <c r="O11" s="13" t="s">
        <v>86</v>
      </c>
      <c r="P11" s="12" t="s">
        <v>87</v>
      </c>
      <c r="Q11" s="12" t="s">
        <v>104</v>
      </c>
    </row>
    <row r="12" customFormat="false" ht="35.05" hidden="false" customHeight="false" outlineLevel="0" collapsed="false">
      <c r="A12" s="8" t="n">
        <v>9</v>
      </c>
      <c r="B12" s="10" t="s">
        <v>144</v>
      </c>
      <c r="C12" s="10" t="s">
        <v>145</v>
      </c>
      <c r="D12" s="10" t="s">
        <v>77</v>
      </c>
      <c r="E12" s="10" t="s">
        <v>146</v>
      </c>
      <c r="F12" s="9" t="s">
        <v>147</v>
      </c>
      <c r="G12" s="9" t="s">
        <v>100</v>
      </c>
      <c r="H12" s="10" t="s">
        <v>148</v>
      </c>
      <c r="I12" s="9" t="s">
        <v>149</v>
      </c>
      <c r="J12" s="10" t="s">
        <v>150</v>
      </c>
      <c r="K12" s="9" t="n">
        <v>3</v>
      </c>
      <c r="L12" s="10" t="s">
        <v>122</v>
      </c>
      <c r="M12" s="9" t="n">
        <v>2</v>
      </c>
      <c r="N12" s="9" t="s">
        <v>85</v>
      </c>
      <c r="O12" s="10" t="s">
        <v>113</v>
      </c>
      <c r="P12" s="9" t="s">
        <v>87</v>
      </c>
      <c r="Q12" s="9" t="s">
        <v>104</v>
      </c>
    </row>
    <row r="13" customFormat="false" ht="35.05" hidden="false" customHeight="false" outlineLevel="0" collapsed="false">
      <c r="A13" s="11" t="n">
        <v>10</v>
      </c>
      <c r="B13" s="13" t="s">
        <v>151</v>
      </c>
      <c r="C13" s="13" t="s">
        <v>152</v>
      </c>
      <c r="D13" s="13" t="s">
        <v>77</v>
      </c>
      <c r="E13" s="13" t="s">
        <v>153</v>
      </c>
      <c r="F13" s="12" t="s">
        <v>154</v>
      </c>
      <c r="G13" s="12" t="s">
        <v>100</v>
      </c>
      <c r="H13" s="13" t="s">
        <v>101</v>
      </c>
      <c r="I13" s="12" t="s">
        <v>149</v>
      </c>
      <c r="J13" s="13" t="s">
        <v>83</v>
      </c>
      <c r="K13" s="12" t="n">
        <v>2</v>
      </c>
      <c r="L13" s="12" t="s">
        <v>84</v>
      </c>
      <c r="M13" s="12" t="n">
        <v>3</v>
      </c>
      <c r="N13" s="13" t="s">
        <v>94</v>
      </c>
      <c r="O13" s="13" t="s">
        <v>86</v>
      </c>
      <c r="P13" s="12" t="s">
        <v>103</v>
      </c>
      <c r="Q13" s="12" t="s">
        <v>104</v>
      </c>
    </row>
    <row r="14" customFormat="false" ht="35.05" hidden="false" customHeight="false" outlineLevel="0" collapsed="false">
      <c r="A14" s="8" t="n">
        <v>11</v>
      </c>
      <c r="B14" s="10" t="s">
        <v>155</v>
      </c>
      <c r="C14" s="10" t="s">
        <v>156</v>
      </c>
      <c r="D14" s="9" t="s">
        <v>157</v>
      </c>
      <c r="E14" s="10" t="s">
        <v>158</v>
      </c>
      <c r="F14" s="9" t="s">
        <v>159</v>
      </c>
      <c r="G14" s="9" t="s">
        <v>136</v>
      </c>
      <c r="H14" s="10" t="s">
        <v>137</v>
      </c>
      <c r="I14" s="9" t="s">
        <v>160</v>
      </c>
      <c r="J14" s="10" t="s">
        <v>83</v>
      </c>
      <c r="K14" s="9" t="n">
        <v>4</v>
      </c>
      <c r="L14" s="9" t="s">
        <v>84</v>
      </c>
      <c r="M14" s="9" t="n">
        <v>2</v>
      </c>
      <c r="N14" s="9" t="s">
        <v>85</v>
      </c>
      <c r="O14" s="10" t="s">
        <v>113</v>
      </c>
      <c r="P14" s="9" t="s">
        <v>103</v>
      </c>
      <c r="Q14" s="9" t="s">
        <v>104</v>
      </c>
    </row>
    <row r="15" customFormat="false" ht="35.05" hidden="false" customHeight="false" outlineLevel="0" collapsed="false">
      <c r="A15" s="11" t="n">
        <v>12</v>
      </c>
      <c r="B15" s="13" t="s">
        <v>161</v>
      </c>
      <c r="C15" s="13" t="s">
        <v>162</v>
      </c>
      <c r="D15" s="13" t="s">
        <v>163</v>
      </c>
      <c r="E15" s="13" t="s">
        <v>164</v>
      </c>
      <c r="F15" s="12" t="s">
        <v>165</v>
      </c>
      <c r="G15" s="12" t="s">
        <v>100</v>
      </c>
      <c r="H15" s="13" t="s">
        <v>166</v>
      </c>
      <c r="I15" s="13" t="s">
        <v>167</v>
      </c>
      <c r="J15" s="13" t="s">
        <v>83</v>
      </c>
      <c r="K15" s="12" t="n">
        <v>1</v>
      </c>
      <c r="L15" s="13" t="s">
        <v>168</v>
      </c>
      <c r="M15" s="12" t="n">
        <v>1</v>
      </c>
      <c r="N15" s="13" t="s">
        <v>169</v>
      </c>
      <c r="O15" s="13" t="s">
        <v>113</v>
      </c>
      <c r="P15" s="12" t="s">
        <v>87</v>
      </c>
      <c r="Q15" s="12" t="s">
        <v>104</v>
      </c>
    </row>
    <row r="16" customFormat="false" ht="35.05" hidden="false" customHeight="false" outlineLevel="0" collapsed="false">
      <c r="A16" s="8" t="n">
        <v>13</v>
      </c>
      <c r="B16" s="10" t="s">
        <v>170</v>
      </c>
      <c r="C16" s="9" t="s">
        <v>171</v>
      </c>
      <c r="D16" s="9" t="s">
        <v>172</v>
      </c>
      <c r="E16" s="10" t="s">
        <v>173</v>
      </c>
      <c r="F16" s="9" t="s">
        <v>174</v>
      </c>
      <c r="G16" s="10" t="s">
        <v>109</v>
      </c>
      <c r="H16" s="10" t="s">
        <v>175</v>
      </c>
      <c r="I16" s="9" t="s">
        <v>176</v>
      </c>
      <c r="J16" s="10" t="s">
        <v>177</v>
      </c>
      <c r="K16" s="9" t="n">
        <v>1</v>
      </c>
      <c r="L16" s="9" t="s">
        <v>84</v>
      </c>
      <c r="M16" s="9" t="n">
        <v>4</v>
      </c>
      <c r="N16" s="10" t="s">
        <v>94</v>
      </c>
      <c r="O16" s="10" t="s">
        <v>113</v>
      </c>
      <c r="P16" s="9" t="s">
        <v>87</v>
      </c>
      <c r="Q16" s="9" t="s">
        <v>178</v>
      </c>
    </row>
    <row r="17" customFormat="false" ht="35.05" hidden="false" customHeight="false" outlineLevel="0" collapsed="false">
      <c r="A17" s="11" t="n">
        <v>14</v>
      </c>
      <c r="B17" s="13" t="s">
        <v>179</v>
      </c>
      <c r="C17" s="12" t="s">
        <v>180</v>
      </c>
      <c r="D17" s="13" t="s">
        <v>77</v>
      </c>
      <c r="E17" s="13" t="s">
        <v>181</v>
      </c>
      <c r="F17" s="12" t="s">
        <v>182</v>
      </c>
      <c r="G17" s="12" t="s">
        <v>100</v>
      </c>
      <c r="H17" s="13" t="s">
        <v>183</v>
      </c>
      <c r="I17" s="12" t="s">
        <v>184</v>
      </c>
      <c r="J17" s="13" t="s">
        <v>138</v>
      </c>
      <c r="K17" s="12" t="n">
        <v>3</v>
      </c>
      <c r="L17" s="13" t="s">
        <v>168</v>
      </c>
      <c r="M17" s="12" t="n">
        <v>3</v>
      </c>
      <c r="N17" s="13" t="s">
        <v>123</v>
      </c>
      <c r="O17" s="13" t="s">
        <v>113</v>
      </c>
      <c r="P17" s="12" t="s">
        <v>87</v>
      </c>
      <c r="Q17" s="12" t="s">
        <v>139</v>
      </c>
    </row>
    <row r="18" customFormat="false" ht="35.05" hidden="false" customHeight="false" outlineLevel="0" collapsed="false">
      <c r="A18" s="8" t="n">
        <v>15</v>
      </c>
      <c r="B18" s="10" t="s">
        <v>185</v>
      </c>
      <c r="C18" s="9" t="s">
        <v>186</v>
      </c>
      <c r="D18" s="10" t="s">
        <v>77</v>
      </c>
      <c r="E18" s="10" t="s">
        <v>187</v>
      </c>
      <c r="F18" s="9"/>
      <c r="G18" s="9" t="s">
        <v>100</v>
      </c>
      <c r="H18" s="10" t="s">
        <v>188</v>
      </c>
      <c r="I18" s="10" t="s">
        <v>189</v>
      </c>
      <c r="J18" s="10" t="s">
        <v>190</v>
      </c>
      <c r="K18" s="9" t="n">
        <v>2</v>
      </c>
      <c r="L18" s="9" t="s">
        <v>84</v>
      </c>
      <c r="M18" s="9" t="n">
        <v>5</v>
      </c>
      <c r="N18" s="9" t="s">
        <v>85</v>
      </c>
      <c r="O18" s="10" t="s">
        <v>86</v>
      </c>
      <c r="P18" s="9" t="s">
        <v>103</v>
      </c>
      <c r="Q18" s="9" t="s">
        <v>139</v>
      </c>
    </row>
    <row r="19" customFormat="false" ht="35.05" hidden="false" customHeight="false" outlineLevel="0" collapsed="false">
      <c r="A19" s="11" t="n">
        <v>16</v>
      </c>
      <c r="B19" s="13" t="s">
        <v>191</v>
      </c>
      <c r="C19" s="13" t="s">
        <v>192</v>
      </c>
      <c r="D19" s="13" t="s">
        <v>193</v>
      </c>
      <c r="E19" s="13" t="s">
        <v>194</v>
      </c>
      <c r="F19" s="12" t="s">
        <v>195</v>
      </c>
      <c r="G19" s="13" t="s">
        <v>109</v>
      </c>
      <c r="H19" s="13" t="s">
        <v>196</v>
      </c>
      <c r="I19" s="12" t="s">
        <v>197</v>
      </c>
      <c r="J19" s="13" t="s">
        <v>130</v>
      </c>
      <c r="K19" s="12" t="n">
        <v>5</v>
      </c>
      <c r="L19" s="13" t="s">
        <v>122</v>
      </c>
      <c r="M19" s="12" t="n">
        <v>4</v>
      </c>
      <c r="N19" s="13" t="s">
        <v>94</v>
      </c>
      <c r="O19" s="13" t="s">
        <v>86</v>
      </c>
      <c r="P19" s="12" t="s">
        <v>87</v>
      </c>
      <c r="Q19" s="12" t="s">
        <v>104</v>
      </c>
    </row>
    <row r="20" customFormat="false" ht="35.05" hidden="false" customHeight="false" outlineLevel="0" collapsed="false">
      <c r="A20" s="8" t="n">
        <v>17</v>
      </c>
      <c r="B20" s="10" t="s">
        <v>198</v>
      </c>
      <c r="C20" s="9" t="s">
        <v>199</v>
      </c>
      <c r="D20" s="10" t="s">
        <v>133</v>
      </c>
      <c r="E20" s="10" t="s">
        <v>200</v>
      </c>
      <c r="F20" s="9" t="s">
        <v>201</v>
      </c>
      <c r="G20" s="9" t="s">
        <v>100</v>
      </c>
      <c r="H20" s="10" t="s">
        <v>202</v>
      </c>
      <c r="I20" s="9" t="s">
        <v>203</v>
      </c>
      <c r="J20" s="10" t="s">
        <v>83</v>
      </c>
      <c r="K20" s="9" t="n">
        <v>4</v>
      </c>
      <c r="L20" s="10" t="s">
        <v>122</v>
      </c>
      <c r="M20" s="9" t="n">
        <v>2</v>
      </c>
      <c r="N20" s="10" t="s">
        <v>123</v>
      </c>
      <c r="O20" s="10" t="s">
        <v>113</v>
      </c>
      <c r="P20" s="9" t="s">
        <v>87</v>
      </c>
      <c r="Q20" s="9" t="s">
        <v>139</v>
      </c>
    </row>
    <row r="21" customFormat="false" ht="46.25" hidden="false" customHeight="false" outlineLevel="0" collapsed="false">
      <c r="A21" s="11" t="n">
        <v>18</v>
      </c>
      <c r="B21" s="13" t="s">
        <v>204</v>
      </c>
      <c r="C21" s="13" t="s">
        <v>205</v>
      </c>
      <c r="D21" s="12" t="s">
        <v>206</v>
      </c>
      <c r="E21" s="13" t="s">
        <v>207</v>
      </c>
      <c r="F21" s="12" t="s">
        <v>208</v>
      </c>
      <c r="G21" s="12" t="s">
        <v>209</v>
      </c>
      <c r="H21" s="13" t="s">
        <v>129</v>
      </c>
      <c r="I21" s="12" t="s">
        <v>184</v>
      </c>
      <c r="J21" s="13" t="s">
        <v>83</v>
      </c>
      <c r="K21" s="12" t="n">
        <v>3</v>
      </c>
      <c r="L21" s="12" t="s">
        <v>84</v>
      </c>
      <c r="M21" s="12" t="n">
        <v>3</v>
      </c>
      <c r="N21" s="13" t="s">
        <v>210</v>
      </c>
      <c r="O21" s="13" t="s">
        <v>113</v>
      </c>
      <c r="P21" s="12" t="s">
        <v>87</v>
      </c>
      <c r="Q21" s="12" t="s">
        <v>104</v>
      </c>
    </row>
    <row r="22" customFormat="false" ht="35.05" hidden="false" customHeight="false" outlineLevel="0" collapsed="false">
      <c r="A22" s="8" t="n">
        <v>19</v>
      </c>
      <c r="B22" s="10" t="s">
        <v>211</v>
      </c>
      <c r="C22" s="10" t="s">
        <v>212</v>
      </c>
      <c r="D22" s="10" t="s">
        <v>213</v>
      </c>
      <c r="E22" s="10" t="s">
        <v>214</v>
      </c>
      <c r="F22" s="9" t="s">
        <v>215</v>
      </c>
      <c r="G22" s="10" t="s">
        <v>109</v>
      </c>
      <c r="H22" s="10" t="s">
        <v>101</v>
      </c>
      <c r="I22" s="9" t="s">
        <v>216</v>
      </c>
      <c r="J22" s="10" t="s">
        <v>83</v>
      </c>
      <c r="K22" s="9" t="n">
        <v>4</v>
      </c>
      <c r="L22" s="10" t="s">
        <v>93</v>
      </c>
      <c r="M22" s="9" t="n">
        <v>4</v>
      </c>
      <c r="N22" s="10" t="s">
        <v>94</v>
      </c>
      <c r="O22" s="10" t="s">
        <v>86</v>
      </c>
      <c r="P22" s="9" t="s">
        <v>87</v>
      </c>
      <c r="Q22" s="9" t="s">
        <v>104</v>
      </c>
    </row>
    <row r="23" customFormat="false" ht="35.05" hidden="false" customHeight="false" outlineLevel="0" collapsed="false">
      <c r="A23" s="11" t="n">
        <v>20</v>
      </c>
      <c r="B23" s="13" t="s">
        <v>217</v>
      </c>
      <c r="C23" s="12" t="s">
        <v>218</v>
      </c>
      <c r="D23" s="12" t="s">
        <v>219</v>
      </c>
      <c r="E23" s="13" t="s">
        <v>220</v>
      </c>
      <c r="F23" s="12" t="s">
        <v>221</v>
      </c>
      <c r="G23" s="12" t="s">
        <v>136</v>
      </c>
      <c r="H23" s="13" t="s">
        <v>222</v>
      </c>
      <c r="I23" s="12" t="s">
        <v>223</v>
      </c>
      <c r="J23" s="13" t="s">
        <v>83</v>
      </c>
      <c r="K23" s="12" t="n">
        <v>5</v>
      </c>
      <c r="L23" s="12" t="s">
        <v>84</v>
      </c>
      <c r="M23" s="12" t="n">
        <v>3</v>
      </c>
      <c r="N23" s="12" t="s">
        <v>85</v>
      </c>
      <c r="O23" s="13" t="s">
        <v>86</v>
      </c>
      <c r="P23" s="12" t="s">
        <v>87</v>
      </c>
      <c r="Q23" s="12" t="s">
        <v>104</v>
      </c>
    </row>
    <row r="24" customFormat="false" ht="46.25" hidden="false" customHeight="false" outlineLevel="0" collapsed="false">
      <c r="A24" s="8" t="n">
        <v>21</v>
      </c>
      <c r="B24" s="10" t="s">
        <v>224</v>
      </c>
      <c r="C24" s="10" t="s">
        <v>225</v>
      </c>
      <c r="D24" s="10" t="s">
        <v>226</v>
      </c>
      <c r="E24" s="10" t="s">
        <v>227</v>
      </c>
      <c r="F24" s="9" t="s">
        <v>228</v>
      </c>
      <c r="G24" s="9" t="s">
        <v>136</v>
      </c>
      <c r="H24" s="10" t="s">
        <v>229</v>
      </c>
      <c r="I24" s="10" t="s">
        <v>230</v>
      </c>
      <c r="J24" s="10" t="s">
        <v>83</v>
      </c>
      <c r="K24" s="9" t="n">
        <v>2</v>
      </c>
      <c r="L24" s="10" t="s">
        <v>168</v>
      </c>
      <c r="M24" s="9" t="n">
        <v>2</v>
      </c>
      <c r="N24" s="10" t="s">
        <v>123</v>
      </c>
      <c r="O24" s="10" t="s">
        <v>86</v>
      </c>
      <c r="P24" s="9" t="s">
        <v>103</v>
      </c>
      <c r="Q24" s="9" t="s">
        <v>139</v>
      </c>
    </row>
    <row r="25" customFormat="false" ht="35.05" hidden="false" customHeight="false" outlineLevel="0" collapsed="false">
      <c r="A25" s="11" t="n">
        <v>22</v>
      </c>
      <c r="B25" s="13" t="s">
        <v>231</v>
      </c>
      <c r="C25" s="13" t="s">
        <v>232</v>
      </c>
      <c r="D25" s="12" t="s">
        <v>233</v>
      </c>
      <c r="E25" s="13" t="s">
        <v>234</v>
      </c>
      <c r="F25" s="12"/>
      <c r="G25" s="12" t="s">
        <v>100</v>
      </c>
      <c r="H25" s="13" t="s">
        <v>101</v>
      </c>
      <c r="I25" s="12" t="s">
        <v>149</v>
      </c>
      <c r="J25" s="12" t="s">
        <v>235</v>
      </c>
      <c r="K25" s="12" t="n">
        <v>1</v>
      </c>
      <c r="L25" s="13" t="s">
        <v>168</v>
      </c>
      <c r="M25" s="12" t="n">
        <v>2</v>
      </c>
      <c r="N25" s="13" t="s">
        <v>94</v>
      </c>
      <c r="O25" s="13" t="s">
        <v>113</v>
      </c>
      <c r="P25" s="12" t="s">
        <v>103</v>
      </c>
      <c r="Q25" s="12" t="s">
        <v>104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27.75" hidden="false" customHeight="true" outlineLevel="0" collapsed="false">
      <c r="A1" s="1" t="s">
        <v>236</v>
      </c>
      <c r="B1" s="1"/>
      <c r="C1" s="1"/>
      <c r="D1" s="1"/>
    </row>
    <row r="3" customFormat="false" ht="21.75" hidden="false" customHeight="true" outlineLevel="0" collapsed="false">
      <c r="A3" s="4" t="s">
        <v>237</v>
      </c>
      <c r="B3" s="4"/>
      <c r="C3" s="4"/>
      <c r="D3" s="4"/>
    </row>
    <row r="4" customFormat="false" ht="15" hidden="false" customHeight="false" outlineLevel="0" collapsed="false">
      <c r="A4" s="7" t="s">
        <v>238</v>
      </c>
      <c r="B4" s="7" t="s">
        <v>239</v>
      </c>
      <c r="C4" s="7" t="s">
        <v>240</v>
      </c>
      <c r="D4" s="7" t="s">
        <v>241</v>
      </c>
    </row>
    <row r="5" customFormat="false" ht="23.85" hidden="false" customHeight="false" outlineLevel="0" collapsed="false">
      <c r="A5" s="14" t="s">
        <v>242</v>
      </c>
      <c r="B5" s="9" t="n">
        <v>11</v>
      </c>
      <c r="C5" s="16" t="n">
        <f aca="false">B5/$B$9</f>
        <v>0.5</v>
      </c>
      <c r="D5" s="10" t="s">
        <v>243</v>
      </c>
    </row>
    <row r="6" customFormat="false" ht="15" hidden="false" customHeight="false" outlineLevel="0" collapsed="false">
      <c r="A6" s="15" t="s">
        <v>244</v>
      </c>
      <c r="B6" s="12" t="n">
        <v>4</v>
      </c>
      <c r="C6" s="17" t="n">
        <f aca="false">B6/$B$9</f>
        <v>0.181818181818182</v>
      </c>
      <c r="D6" s="13" t="s">
        <v>245</v>
      </c>
    </row>
    <row r="7" customFormat="false" ht="15" hidden="false" customHeight="false" outlineLevel="0" collapsed="false">
      <c r="A7" s="14" t="s">
        <v>246</v>
      </c>
      <c r="B7" s="9" t="n">
        <v>4</v>
      </c>
      <c r="C7" s="16" t="n">
        <f aca="false">B7/$B$9</f>
        <v>0.181818181818182</v>
      </c>
      <c r="D7" s="10" t="s">
        <v>247</v>
      </c>
    </row>
    <row r="8" customFormat="false" ht="15" hidden="false" customHeight="false" outlineLevel="0" collapsed="false">
      <c r="A8" s="15" t="s">
        <v>248</v>
      </c>
      <c r="B8" s="12" t="n">
        <v>3</v>
      </c>
      <c r="C8" s="17" t="n">
        <f aca="false">B8/$B$9</f>
        <v>0.136363636363636</v>
      </c>
      <c r="D8" s="13" t="s">
        <v>249</v>
      </c>
    </row>
    <row r="9" customFormat="false" ht="15" hidden="false" customHeight="false" outlineLevel="0" collapsed="false">
      <c r="A9" s="8" t="s">
        <v>250</v>
      </c>
      <c r="B9" s="9" t="n">
        <f aca="false">SUM(B5:B8)</f>
        <v>22</v>
      </c>
      <c r="C9" s="16" t="n">
        <f aca="false">SUM(C5:C8)</f>
        <v>1</v>
      </c>
      <c r="D9" s="9"/>
    </row>
    <row r="11" customFormat="false" ht="21.75" hidden="false" customHeight="true" outlineLevel="0" collapsed="false">
      <c r="A11" s="4" t="s">
        <v>72</v>
      </c>
      <c r="B11" s="4"/>
      <c r="C11" s="4"/>
      <c r="D11" s="4"/>
    </row>
    <row r="12" customFormat="false" ht="15" hidden="false" customHeight="false" outlineLevel="0" collapsed="false">
      <c r="A12" s="7" t="s">
        <v>72</v>
      </c>
      <c r="B12" s="7" t="s">
        <v>239</v>
      </c>
      <c r="C12" s="7" t="s">
        <v>240</v>
      </c>
      <c r="D12" s="7" t="s">
        <v>251</v>
      </c>
    </row>
    <row r="13" customFormat="false" ht="15" hidden="false" customHeight="false" outlineLevel="0" collapsed="false">
      <c r="A13" s="8" t="s">
        <v>104</v>
      </c>
      <c r="B13" s="9" t="n">
        <v>14</v>
      </c>
      <c r="C13" s="16" t="n">
        <f aca="false">B13/$B$17</f>
        <v>0.636363636363636</v>
      </c>
      <c r="D13" s="9"/>
    </row>
    <row r="14" customFormat="false" ht="15" hidden="false" customHeight="false" outlineLevel="0" collapsed="false">
      <c r="A14" s="11" t="s">
        <v>139</v>
      </c>
      <c r="B14" s="12" t="n">
        <v>5</v>
      </c>
      <c r="C14" s="17" t="n">
        <f aca="false">B14/$B$17</f>
        <v>0.227272727272727</v>
      </c>
      <c r="D14" s="12"/>
    </row>
    <row r="15" customFormat="false" ht="15" hidden="false" customHeight="false" outlineLevel="0" collapsed="false">
      <c r="A15" s="8" t="s">
        <v>178</v>
      </c>
      <c r="B15" s="9" t="n">
        <v>1</v>
      </c>
      <c r="C15" s="16" t="n">
        <f aca="false">B15/$B$17</f>
        <v>0.0454545454545455</v>
      </c>
      <c r="D15" s="9"/>
    </row>
    <row r="16" customFormat="false" ht="15" hidden="false" customHeight="false" outlineLevel="0" collapsed="false">
      <c r="A16" s="11" t="s">
        <v>252</v>
      </c>
      <c r="B16" s="12" t="n">
        <v>2</v>
      </c>
      <c r="C16" s="17" t="n">
        <f aca="false">B16/$B$17</f>
        <v>0.0909090909090909</v>
      </c>
      <c r="D16" s="12"/>
    </row>
    <row r="17" customFormat="false" ht="15" hidden="false" customHeight="false" outlineLevel="0" collapsed="false">
      <c r="A17" s="8" t="s">
        <v>250</v>
      </c>
      <c r="B17" s="9" t="n">
        <f aca="false">SUM(B13:B16)</f>
        <v>22</v>
      </c>
      <c r="C17" s="16" t="n">
        <f aca="false">SUM(C13:C16)</f>
        <v>1</v>
      </c>
      <c r="D17" s="9"/>
    </row>
    <row r="19" customFormat="false" ht="21.75" hidden="false" customHeight="true" outlineLevel="0" collapsed="false">
      <c r="A19" s="4" t="s">
        <v>253</v>
      </c>
      <c r="B19" s="4"/>
      <c r="C19" s="4"/>
      <c r="D19" s="4"/>
    </row>
    <row r="20" customFormat="false" ht="15" hidden="false" customHeight="false" outlineLevel="0" collapsed="false">
      <c r="A20" s="7" t="s">
        <v>254</v>
      </c>
      <c r="B20" s="7" t="s">
        <v>239</v>
      </c>
      <c r="C20" s="7" t="s">
        <v>240</v>
      </c>
      <c r="D20" s="7" t="s">
        <v>251</v>
      </c>
    </row>
    <row r="21" customFormat="false" ht="15" hidden="false" customHeight="false" outlineLevel="0" collapsed="false">
      <c r="A21" s="8" t="s">
        <v>100</v>
      </c>
      <c r="B21" s="9" t="n">
        <v>9</v>
      </c>
      <c r="C21" s="16" t="n">
        <f aca="false">B21/$B$26</f>
        <v>0.409090909090909</v>
      </c>
      <c r="D21" s="9"/>
    </row>
    <row r="22" customFormat="false" ht="15" hidden="false" customHeight="false" outlineLevel="0" collapsed="false">
      <c r="A22" s="15" t="s">
        <v>255</v>
      </c>
      <c r="B22" s="12" t="n">
        <v>6</v>
      </c>
      <c r="C22" s="17" t="n">
        <f aca="false">B22/$B$26</f>
        <v>0.272727272727273</v>
      </c>
      <c r="D22" s="13" t="s">
        <v>256</v>
      </c>
    </row>
    <row r="23" customFormat="false" ht="15" hidden="false" customHeight="false" outlineLevel="0" collapsed="false">
      <c r="A23" s="8" t="s">
        <v>136</v>
      </c>
      <c r="B23" s="9" t="n">
        <v>4</v>
      </c>
      <c r="C23" s="16" t="n">
        <f aca="false">B23/$B$26</f>
        <v>0.181818181818182</v>
      </c>
      <c r="D23" s="9"/>
    </row>
    <row r="24" customFormat="false" ht="15" hidden="false" customHeight="false" outlineLevel="0" collapsed="false">
      <c r="A24" s="11" t="s">
        <v>142</v>
      </c>
      <c r="B24" s="12" t="n">
        <v>1</v>
      </c>
      <c r="C24" s="17" t="n">
        <f aca="false">B24/$B$26</f>
        <v>0.0454545454545455</v>
      </c>
      <c r="D24" s="12"/>
    </row>
    <row r="25" customFormat="false" ht="15" hidden="false" customHeight="false" outlineLevel="0" collapsed="false">
      <c r="A25" s="14" t="s">
        <v>257</v>
      </c>
      <c r="B25" s="9" t="n">
        <v>2</v>
      </c>
      <c r="C25" s="16" t="n">
        <f aca="false">B25/$B$26</f>
        <v>0.0909090909090909</v>
      </c>
      <c r="D25" s="9"/>
    </row>
    <row r="26" customFormat="false" ht="15" hidden="false" customHeight="false" outlineLevel="0" collapsed="false">
      <c r="A26" s="11" t="s">
        <v>250</v>
      </c>
      <c r="B26" s="12" t="n">
        <f aca="false">SUM(B21:B25)</f>
        <v>22</v>
      </c>
      <c r="C26" s="17" t="n">
        <f aca="false">SUM(C21:C25)</f>
        <v>1</v>
      </c>
      <c r="D26" s="12"/>
    </row>
    <row r="28" customFormat="false" ht="21.75" hidden="false" customHeight="true" outlineLevel="0" collapsed="false">
      <c r="A28" s="4" t="s">
        <v>258</v>
      </c>
      <c r="B28" s="4"/>
      <c r="C28" s="4"/>
      <c r="D28" s="4"/>
    </row>
    <row r="29" customFormat="false" ht="26.85" hidden="false" customHeight="false" outlineLevel="0" collapsed="false">
      <c r="A29" s="7" t="s">
        <v>259</v>
      </c>
      <c r="B29" s="7" t="s">
        <v>239</v>
      </c>
      <c r="C29" s="7" t="s">
        <v>260</v>
      </c>
      <c r="D29" s="7" t="s">
        <v>251</v>
      </c>
    </row>
    <row r="30" customFormat="false" ht="15" hidden="false" customHeight="false" outlineLevel="0" collapsed="false">
      <c r="A30" s="14" t="s">
        <v>81</v>
      </c>
      <c r="B30" s="9" t="n">
        <v>15</v>
      </c>
      <c r="C30" s="16" t="n">
        <f aca="false">B30/22</f>
        <v>0.681818181818182</v>
      </c>
      <c r="D30" s="9"/>
    </row>
    <row r="31" customFormat="false" ht="15" hidden="false" customHeight="false" outlineLevel="0" collapsed="false">
      <c r="A31" s="11" t="s">
        <v>91</v>
      </c>
      <c r="B31" s="12" t="n">
        <v>15</v>
      </c>
      <c r="C31" s="17" t="n">
        <f aca="false">B31/22</f>
        <v>0.681818181818182</v>
      </c>
      <c r="D31" s="12"/>
    </row>
    <row r="32" customFormat="false" ht="15" hidden="false" customHeight="false" outlineLevel="0" collapsed="false">
      <c r="A32" s="14" t="s">
        <v>261</v>
      </c>
      <c r="B32" s="9" t="n">
        <v>13</v>
      </c>
      <c r="C32" s="16" t="n">
        <f aca="false">B32/22</f>
        <v>0.590909090909091</v>
      </c>
      <c r="D32" s="9"/>
    </row>
    <row r="33" customFormat="false" ht="15" hidden="false" customHeight="false" outlineLevel="0" collapsed="false">
      <c r="A33" s="15" t="s">
        <v>262</v>
      </c>
      <c r="B33" s="12" t="n">
        <v>9</v>
      </c>
      <c r="C33" s="17" t="n">
        <f aca="false">B33/22</f>
        <v>0.409090909090909</v>
      </c>
      <c r="D33" s="12"/>
    </row>
    <row r="34" customFormat="false" ht="15" hidden="false" customHeight="false" outlineLevel="0" collapsed="false">
      <c r="A34" s="8" t="s">
        <v>263</v>
      </c>
      <c r="B34" s="9" t="n">
        <v>4</v>
      </c>
      <c r="C34" s="16" t="n">
        <f aca="false">B34/22</f>
        <v>0.181818181818182</v>
      </c>
      <c r="D34" s="9"/>
    </row>
    <row r="35" customFormat="false" ht="15" hidden="false" customHeight="false" outlineLevel="0" collapsed="false">
      <c r="A35" s="11" t="s">
        <v>264</v>
      </c>
      <c r="B35" s="12" t="n">
        <v>4</v>
      </c>
      <c r="C35" s="17" t="n">
        <f aca="false">B35/22</f>
        <v>0.181818181818182</v>
      </c>
      <c r="D35" s="12"/>
    </row>
    <row r="36" customFormat="false" ht="15" hidden="false" customHeight="false" outlineLevel="0" collapsed="false">
      <c r="A36" s="14" t="s">
        <v>265</v>
      </c>
      <c r="B36" s="9" t="n">
        <v>3</v>
      </c>
      <c r="C36" s="16" t="n">
        <f aca="false">B36/22</f>
        <v>0.136363636363636</v>
      </c>
      <c r="D36" s="9"/>
    </row>
    <row r="38" customFormat="false" ht="21.75" hidden="false" customHeight="true" outlineLevel="0" collapsed="false">
      <c r="A38" s="4" t="s">
        <v>266</v>
      </c>
      <c r="B38" s="4"/>
      <c r="C38" s="4"/>
      <c r="D38" s="4"/>
    </row>
    <row r="39" customFormat="false" ht="15" hidden="false" customHeight="false" outlineLevel="0" collapsed="false">
      <c r="A39" s="7" t="s">
        <v>267</v>
      </c>
      <c r="B39" s="7" t="s">
        <v>239</v>
      </c>
      <c r="C39" s="7" t="s">
        <v>240</v>
      </c>
      <c r="D39" s="7" t="s">
        <v>251</v>
      </c>
    </row>
    <row r="40" customFormat="false" ht="15" hidden="false" customHeight="false" outlineLevel="0" collapsed="false">
      <c r="A40" s="8" t="s">
        <v>268</v>
      </c>
      <c r="B40" s="9" t="n">
        <v>4</v>
      </c>
      <c r="C40" s="16" t="n">
        <f aca="false">B40/$B$46</f>
        <v>0.181818181818182</v>
      </c>
      <c r="D40" s="9"/>
    </row>
    <row r="41" customFormat="false" ht="15" hidden="false" customHeight="false" outlineLevel="0" collapsed="false">
      <c r="A41" s="15" t="s">
        <v>269</v>
      </c>
      <c r="B41" s="12" t="n">
        <v>3</v>
      </c>
      <c r="C41" s="17" t="n">
        <f aca="false">B41/$B$46</f>
        <v>0.136363636363636</v>
      </c>
      <c r="D41" s="12"/>
    </row>
    <row r="42" customFormat="false" ht="15" hidden="false" customHeight="false" outlineLevel="0" collapsed="false">
      <c r="A42" s="14" t="s">
        <v>270</v>
      </c>
      <c r="B42" s="9" t="n">
        <v>6</v>
      </c>
      <c r="C42" s="16" t="n">
        <f aca="false">B42/$B$46</f>
        <v>0.272727272727273</v>
      </c>
      <c r="D42" s="9"/>
    </row>
    <row r="43" customFormat="false" ht="15" hidden="false" customHeight="false" outlineLevel="0" collapsed="false">
      <c r="A43" s="15" t="s">
        <v>271</v>
      </c>
      <c r="B43" s="12" t="n">
        <v>4</v>
      </c>
      <c r="C43" s="17" t="n">
        <f aca="false">B43/$B$46</f>
        <v>0.181818181818182</v>
      </c>
      <c r="D43" s="12"/>
    </row>
    <row r="44" customFormat="false" ht="15" hidden="false" customHeight="false" outlineLevel="0" collapsed="false">
      <c r="A44" s="14" t="s">
        <v>272</v>
      </c>
      <c r="B44" s="9" t="n">
        <v>3</v>
      </c>
      <c r="C44" s="16" t="n">
        <f aca="false">B44/$B$46</f>
        <v>0.136363636363636</v>
      </c>
      <c r="D44" s="9"/>
    </row>
    <row r="45" customFormat="false" ht="15" hidden="false" customHeight="false" outlineLevel="0" collapsed="false">
      <c r="A45" s="15" t="s">
        <v>273</v>
      </c>
      <c r="B45" s="12" t="n">
        <v>2</v>
      </c>
      <c r="C45" s="17" t="n">
        <f aca="false">B45/$B$46</f>
        <v>0.0909090909090909</v>
      </c>
      <c r="D45" s="12"/>
    </row>
    <row r="46" customFormat="false" ht="15" hidden="false" customHeight="false" outlineLevel="0" collapsed="false">
      <c r="A46" s="8" t="s">
        <v>250</v>
      </c>
      <c r="B46" s="9" t="n">
        <f aca="false">SUM(B40:B45)</f>
        <v>22</v>
      </c>
      <c r="C46" s="16" t="n">
        <f aca="false">SUM(C40:C45)</f>
        <v>1</v>
      </c>
      <c r="D46" s="9"/>
    </row>
  </sheetData>
  <mergeCells count="6">
    <mergeCell ref="A1:D1"/>
    <mergeCell ref="A3:D3"/>
    <mergeCell ref="A11:D11"/>
    <mergeCell ref="A19:D19"/>
    <mergeCell ref="A28:D28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4"/>
  </cols>
  <sheetData>
    <row r="1" customFormat="false" ht="27.75" hidden="false" customHeight="true" outlineLevel="0" collapsed="false">
      <c r="A1" s="1" t="s">
        <v>274</v>
      </c>
      <c r="B1" s="1"/>
      <c r="C1" s="1"/>
      <c r="D1" s="1"/>
      <c r="E1" s="1"/>
    </row>
    <row r="3" customFormat="false" ht="21.75" hidden="false" customHeight="true" outlineLevel="0" collapsed="false">
      <c r="A3" s="4" t="s">
        <v>275</v>
      </c>
      <c r="B3" s="4"/>
      <c r="C3" s="4"/>
      <c r="D3" s="4"/>
      <c r="E3" s="4"/>
    </row>
    <row r="4" customFormat="false" ht="39.55" hidden="false" customHeight="false" outlineLevel="0" collapsed="false">
      <c r="A4" s="7" t="s">
        <v>276</v>
      </c>
      <c r="B4" s="7" t="s">
        <v>239</v>
      </c>
      <c r="C4" s="7" t="s">
        <v>240</v>
      </c>
      <c r="D4" s="7" t="s">
        <v>241</v>
      </c>
      <c r="E4" s="7" t="s">
        <v>277</v>
      </c>
    </row>
    <row r="5" customFormat="false" ht="15" hidden="false" customHeight="false" outlineLevel="0" collapsed="false">
      <c r="A5" s="8" t="s">
        <v>278</v>
      </c>
      <c r="B5" s="9" t="n">
        <v>4</v>
      </c>
      <c r="C5" s="16" t="n">
        <f aca="false">B5/$B$10</f>
        <v>0.181818181818182</v>
      </c>
      <c r="D5" s="10" t="s">
        <v>279</v>
      </c>
      <c r="E5" s="9"/>
    </row>
    <row r="6" customFormat="false" ht="15" hidden="false" customHeight="false" outlineLevel="0" collapsed="false">
      <c r="A6" s="11" t="s">
        <v>280</v>
      </c>
      <c r="B6" s="12" t="n">
        <v>5</v>
      </c>
      <c r="C6" s="17" t="n">
        <f aca="false">B6/$B$10</f>
        <v>0.227272727272727</v>
      </c>
      <c r="D6" s="13" t="s">
        <v>281</v>
      </c>
      <c r="E6" s="12"/>
    </row>
    <row r="7" customFormat="false" ht="15" hidden="false" customHeight="false" outlineLevel="0" collapsed="false">
      <c r="A7" s="8" t="s">
        <v>282</v>
      </c>
      <c r="B7" s="9" t="n">
        <v>5</v>
      </c>
      <c r="C7" s="16" t="n">
        <f aca="false">B7/$B$10</f>
        <v>0.227272727272727</v>
      </c>
      <c r="D7" s="10" t="s">
        <v>283</v>
      </c>
      <c r="E7" s="9"/>
    </row>
    <row r="8" customFormat="false" ht="15" hidden="false" customHeight="false" outlineLevel="0" collapsed="false">
      <c r="A8" s="11" t="s">
        <v>284</v>
      </c>
      <c r="B8" s="12" t="n">
        <v>4</v>
      </c>
      <c r="C8" s="17" t="n">
        <f aca="false">B8/$B$10</f>
        <v>0.181818181818182</v>
      </c>
      <c r="D8" s="13" t="s">
        <v>285</v>
      </c>
      <c r="E8" s="12"/>
    </row>
    <row r="9" customFormat="false" ht="15" hidden="false" customHeight="false" outlineLevel="0" collapsed="false">
      <c r="A9" s="8" t="s">
        <v>286</v>
      </c>
      <c r="B9" s="9" t="n">
        <v>4</v>
      </c>
      <c r="C9" s="16" t="n">
        <f aca="false">B9/$B$10</f>
        <v>0.181818181818182</v>
      </c>
      <c r="D9" s="10" t="s">
        <v>287</v>
      </c>
      <c r="E9" s="9"/>
    </row>
    <row r="10" customFormat="false" ht="15" hidden="false" customHeight="false" outlineLevel="0" collapsed="false">
      <c r="A10" s="11" t="s">
        <v>250</v>
      </c>
      <c r="B10" s="12" t="n">
        <f aca="false">SUM(B5:B9)</f>
        <v>22</v>
      </c>
      <c r="C10" s="17" t="n">
        <f aca="false">SUM(C5:C9)</f>
        <v>1</v>
      </c>
      <c r="D10" s="13" t="s">
        <v>288</v>
      </c>
      <c r="E10" s="12"/>
    </row>
    <row r="12" customFormat="false" ht="21.75" hidden="false" customHeight="true" outlineLevel="0" collapsed="false">
      <c r="A12" s="4" t="s">
        <v>289</v>
      </c>
      <c r="B12" s="4"/>
      <c r="C12" s="4"/>
      <c r="D12" s="4"/>
      <c r="E12" s="4"/>
    </row>
    <row r="13" customFormat="false" ht="39.55" hidden="false" customHeight="false" outlineLevel="0" collapsed="false">
      <c r="A13" s="7" t="s">
        <v>238</v>
      </c>
      <c r="B13" s="7" t="s">
        <v>239</v>
      </c>
      <c r="C13" s="7" t="s">
        <v>240</v>
      </c>
      <c r="D13" s="7" t="s">
        <v>241</v>
      </c>
      <c r="E13" s="7" t="s">
        <v>277</v>
      </c>
    </row>
    <row r="14" customFormat="false" ht="15" hidden="false" customHeight="false" outlineLevel="0" collapsed="false">
      <c r="A14" s="14" t="s">
        <v>168</v>
      </c>
      <c r="B14" s="9" t="n">
        <v>4</v>
      </c>
      <c r="C14" s="16" t="n">
        <f aca="false">B14/$B$18</f>
        <v>0.181818181818182</v>
      </c>
      <c r="D14" s="10" t="s">
        <v>290</v>
      </c>
      <c r="E14" s="9"/>
    </row>
    <row r="15" customFormat="false" ht="15" hidden="false" customHeight="false" outlineLevel="0" collapsed="false">
      <c r="A15" s="11" t="s">
        <v>84</v>
      </c>
      <c r="B15" s="12" t="n">
        <v>10</v>
      </c>
      <c r="C15" s="17" t="n">
        <f aca="false">B15/$B$18</f>
        <v>0.454545454545455</v>
      </c>
      <c r="D15" s="13" t="s">
        <v>291</v>
      </c>
      <c r="E15" s="12"/>
    </row>
    <row r="16" customFormat="false" ht="15" hidden="false" customHeight="false" outlineLevel="0" collapsed="false">
      <c r="A16" s="14" t="s">
        <v>122</v>
      </c>
      <c r="B16" s="9" t="n">
        <v>5</v>
      </c>
      <c r="C16" s="16" t="n">
        <f aca="false">B16/$B$18</f>
        <v>0.227272727272727</v>
      </c>
      <c r="D16" s="10" t="s">
        <v>292</v>
      </c>
      <c r="E16" s="9"/>
    </row>
    <row r="17" customFormat="false" ht="15" hidden="false" customHeight="false" outlineLevel="0" collapsed="false">
      <c r="A17" s="15" t="s">
        <v>93</v>
      </c>
      <c r="B17" s="12" t="n">
        <v>3</v>
      </c>
      <c r="C17" s="17" t="n">
        <f aca="false">B17/$B$18</f>
        <v>0.136363636363636</v>
      </c>
      <c r="D17" s="12" t="s">
        <v>293</v>
      </c>
      <c r="E17" s="12"/>
    </row>
    <row r="18" customFormat="false" ht="15" hidden="false" customHeight="false" outlineLevel="0" collapsed="false">
      <c r="A18" s="8" t="s">
        <v>250</v>
      </c>
      <c r="B18" s="9" t="n">
        <f aca="false">SUM(B14:B17)</f>
        <v>22</v>
      </c>
      <c r="C18" s="16" t="n">
        <f aca="false">SUM(C14:C17)</f>
        <v>1</v>
      </c>
      <c r="D18" s="10" t="s">
        <v>294</v>
      </c>
      <c r="E18" s="9"/>
    </row>
    <row r="20" customFormat="false" ht="21.75" hidden="false" customHeight="true" outlineLevel="0" collapsed="false">
      <c r="A20" s="4" t="s">
        <v>295</v>
      </c>
      <c r="B20" s="4"/>
      <c r="C20" s="4"/>
      <c r="D20" s="4"/>
      <c r="E20" s="4"/>
    </row>
    <row r="21" customFormat="false" ht="39.55" hidden="false" customHeight="false" outlineLevel="0" collapsed="false">
      <c r="A21" s="7" t="s">
        <v>276</v>
      </c>
      <c r="B21" s="7" t="s">
        <v>239</v>
      </c>
      <c r="C21" s="7" t="s">
        <v>240</v>
      </c>
      <c r="D21" s="7" t="s">
        <v>241</v>
      </c>
      <c r="E21" s="7" t="s">
        <v>277</v>
      </c>
    </row>
    <row r="22" customFormat="false" ht="15" hidden="false" customHeight="false" outlineLevel="0" collapsed="false">
      <c r="A22" s="8" t="s">
        <v>296</v>
      </c>
      <c r="B22" s="9" t="n">
        <v>1</v>
      </c>
      <c r="C22" s="16" t="n">
        <f aca="false">B22/$B$27</f>
        <v>0.0454545454545455</v>
      </c>
      <c r="D22" s="9" t="s">
        <v>297</v>
      </c>
      <c r="E22" s="9"/>
    </row>
    <row r="23" customFormat="false" ht="15" hidden="false" customHeight="false" outlineLevel="0" collapsed="false">
      <c r="A23" s="11" t="s">
        <v>298</v>
      </c>
      <c r="B23" s="12" t="n">
        <v>5</v>
      </c>
      <c r="C23" s="17" t="n">
        <f aca="false">B23/$B$27</f>
        <v>0.227272727272727</v>
      </c>
      <c r="D23" s="13" t="s">
        <v>299</v>
      </c>
      <c r="E23" s="12"/>
    </row>
    <row r="24" customFormat="false" ht="15" hidden="false" customHeight="false" outlineLevel="0" collapsed="false">
      <c r="A24" s="8" t="s">
        <v>300</v>
      </c>
      <c r="B24" s="9" t="n">
        <v>10</v>
      </c>
      <c r="C24" s="16" t="n">
        <f aca="false">B24/$B$27</f>
        <v>0.454545454545455</v>
      </c>
      <c r="D24" s="10" t="s">
        <v>301</v>
      </c>
      <c r="E24" s="9"/>
    </row>
    <row r="25" customFormat="false" ht="15" hidden="false" customHeight="false" outlineLevel="0" collapsed="false">
      <c r="A25" s="11" t="s">
        <v>302</v>
      </c>
      <c r="B25" s="12" t="n">
        <v>3</v>
      </c>
      <c r="C25" s="17" t="n">
        <f aca="false">B25/$B$27</f>
        <v>0.136363636363636</v>
      </c>
      <c r="D25" s="13" t="s">
        <v>303</v>
      </c>
      <c r="E25" s="12"/>
    </row>
    <row r="26" customFormat="false" ht="15" hidden="false" customHeight="false" outlineLevel="0" collapsed="false">
      <c r="A26" s="14" t="s">
        <v>304</v>
      </c>
      <c r="B26" s="9" t="n">
        <v>3</v>
      </c>
      <c r="C26" s="16" t="n">
        <f aca="false">B26/$B$27</f>
        <v>0.136363636363636</v>
      </c>
      <c r="D26" s="9" t="s">
        <v>305</v>
      </c>
      <c r="E26" s="9"/>
    </row>
    <row r="27" customFormat="false" ht="15" hidden="false" customHeight="false" outlineLevel="0" collapsed="false">
      <c r="A27" s="11" t="s">
        <v>250</v>
      </c>
      <c r="B27" s="12" t="n">
        <f aca="false">SUM(B22:B26)</f>
        <v>22</v>
      </c>
      <c r="C27" s="17" t="n">
        <f aca="false">SUM(C22:C26)</f>
        <v>1</v>
      </c>
      <c r="D27" s="13" t="s">
        <v>306</v>
      </c>
      <c r="E27" s="12"/>
    </row>
    <row r="29" customFormat="false" ht="21.75" hidden="false" customHeight="true" outlineLevel="0" collapsed="false">
      <c r="A29" s="4" t="s">
        <v>307</v>
      </c>
      <c r="B29" s="4"/>
      <c r="C29" s="4"/>
      <c r="D29" s="4"/>
      <c r="E29" s="4"/>
    </row>
    <row r="30" customFormat="false" ht="39.55" hidden="false" customHeight="false" outlineLevel="0" collapsed="false">
      <c r="A30" s="7" t="s">
        <v>267</v>
      </c>
      <c r="B30" s="7" t="s">
        <v>239</v>
      </c>
      <c r="C30" s="7" t="s">
        <v>240</v>
      </c>
      <c r="D30" s="7" t="s">
        <v>241</v>
      </c>
      <c r="E30" s="7" t="s">
        <v>277</v>
      </c>
    </row>
    <row r="31" customFormat="false" ht="15" hidden="false" customHeight="false" outlineLevel="0" collapsed="false">
      <c r="A31" s="14" t="s">
        <v>123</v>
      </c>
      <c r="B31" s="9" t="n">
        <v>5</v>
      </c>
      <c r="C31" s="16" t="n">
        <f aca="false">B31/$B$35</f>
        <v>0.227272727272727</v>
      </c>
      <c r="D31" s="10" t="s">
        <v>308</v>
      </c>
      <c r="E31" s="9"/>
    </row>
    <row r="32" customFormat="false" ht="15" hidden="false" customHeight="false" outlineLevel="0" collapsed="false">
      <c r="A32" s="11" t="s">
        <v>85</v>
      </c>
      <c r="B32" s="12" t="n">
        <v>9</v>
      </c>
      <c r="C32" s="17" t="n">
        <f aca="false">B32/$B$35</f>
        <v>0.409090909090909</v>
      </c>
      <c r="D32" s="12"/>
      <c r="E32" s="12"/>
    </row>
    <row r="33" customFormat="false" ht="15" hidden="false" customHeight="false" outlineLevel="0" collapsed="false">
      <c r="A33" s="14" t="s">
        <v>94</v>
      </c>
      <c r="B33" s="9" t="n">
        <v>7</v>
      </c>
      <c r="C33" s="16" t="n">
        <f aca="false">B33/$B$35</f>
        <v>0.318181818181818</v>
      </c>
      <c r="D33" s="9"/>
      <c r="E33" s="9"/>
    </row>
    <row r="34" customFormat="false" ht="15" hidden="false" customHeight="false" outlineLevel="0" collapsed="false">
      <c r="A34" s="15" t="s">
        <v>309</v>
      </c>
      <c r="B34" s="12" t="n">
        <v>1</v>
      </c>
      <c r="C34" s="17" t="n">
        <f aca="false">B34/$B$35</f>
        <v>0.0454545454545455</v>
      </c>
      <c r="D34" s="13" t="s">
        <v>310</v>
      </c>
      <c r="E34" s="12"/>
    </row>
    <row r="35" customFormat="false" ht="15" hidden="false" customHeight="false" outlineLevel="0" collapsed="false">
      <c r="A35" s="8" t="s">
        <v>250</v>
      </c>
      <c r="B35" s="9" t="n">
        <f aca="false">SUM(B31:B34)</f>
        <v>22</v>
      </c>
      <c r="C35" s="16" t="n">
        <f aca="false">SUM(C31:C34)</f>
        <v>1</v>
      </c>
      <c r="D35" s="10" t="s">
        <v>311</v>
      </c>
      <c r="E35" s="9"/>
    </row>
    <row r="37" customFormat="false" ht="21.75" hidden="false" customHeight="true" outlineLevel="0" collapsed="false">
      <c r="A37" s="4" t="s">
        <v>312</v>
      </c>
      <c r="B37" s="4"/>
      <c r="C37" s="4"/>
      <c r="D37" s="4"/>
      <c r="E37" s="4"/>
    </row>
    <row r="38" customFormat="false" ht="39.55" hidden="false" customHeight="false" outlineLevel="0" collapsed="false">
      <c r="A38" s="7" t="s">
        <v>238</v>
      </c>
      <c r="B38" s="7" t="s">
        <v>239</v>
      </c>
      <c r="C38" s="7" t="s">
        <v>240</v>
      </c>
      <c r="D38" s="7" t="s">
        <v>241</v>
      </c>
      <c r="E38" s="7" t="s">
        <v>277</v>
      </c>
    </row>
    <row r="39" customFormat="false" ht="23.85" hidden="false" customHeight="false" outlineLevel="0" collapsed="false">
      <c r="A39" s="14" t="s">
        <v>313</v>
      </c>
      <c r="B39" s="9" t="n">
        <v>10</v>
      </c>
      <c r="C39" s="16" t="n">
        <f aca="false">B39/$B$42</f>
        <v>0.454545454545455</v>
      </c>
      <c r="D39" s="9"/>
      <c r="E39" s="9"/>
    </row>
    <row r="40" customFormat="false" ht="15" hidden="false" customHeight="false" outlineLevel="0" collapsed="false">
      <c r="A40" s="15" t="s">
        <v>314</v>
      </c>
      <c r="B40" s="12" t="n">
        <v>12</v>
      </c>
      <c r="C40" s="17" t="n">
        <f aca="false">B40/$B$42</f>
        <v>0.545454545454545</v>
      </c>
      <c r="D40" s="12"/>
      <c r="E40" s="12"/>
    </row>
    <row r="41" customFormat="false" ht="15" hidden="false" customHeight="false" outlineLevel="0" collapsed="false">
      <c r="A41" s="8" t="s">
        <v>315</v>
      </c>
      <c r="B41" s="9" t="n">
        <v>0</v>
      </c>
      <c r="C41" s="16" t="n">
        <f aca="false">B41/$B$42</f>
        <v>0</v>
      </c>
      <c r="D41" s="10" t="s">
        <v>316</v>
      </c>
      <c r="E41" s="9"/>
    </row>
    <row r="42" customFormat="false" ht="15" hidden="false" customHeight="false" outlineLevel="0" collapsed="false">
      <c r="A42" s="11" t="s">
        <v>250</v>
      </c>
      <c r="B42" s="12" t="n">
        <f aca="false">SUM(B39:B41)</f>
        <v>22</v>
      </c>
      <c r="C42" s="17" t="n">
        <f aca="false">SUM(C39:C41)</f>
        <v>1</v>
      </c>
      <c r="D42" s="13" t="s">
        <v>317</v>
      </c>
      <c r="E42" s="12"/>
    </row>
    <row r="44" customFormat="false" ht="21.75" hidden="false" customHeight="true" outlineLevel="0" collapsed="false">
      <c r="A44" s="4" t="s">
        <v>318</v>
      </c>
      <c r="B44" s="4"/>
      <c r="C44" s="4"/>
      <c r="D44" s="4"/>
      <c r="E44" s="4"/>
    </row>
    <row r="45" customFormat="false" ht="39.55" hidden="false" customHeight="false" outlineLevel="0" collapsed="false">
      <c r="A45" s="7" t="s">
        <v>319</v>
      </c>
      <c r="B45" s="7" t="s">
        <v>239</v>
      </c>
      <c r="C45" s="7" t="s">
        <v>240</v>
      </c>
      <c r="D45" s="7" t="s">
        <v>241</v>
      </c>
      <c r="E45" s="7" t="s">
        <v>277</v>
      </c>
    </row>
    <row r="46" customFormat="false" ht="15" hidden="false" customHeight="false" outlineLevel="0" collapsed="false">
      <c r="A46" s="8" t="s">
        <v>87</v>
      </c>
      <c r="B46" s="9" t="n">
        <v>16</v>
      </c>
      <c r="C46" s="16" t="n">
        <f aca="false">B46/$B$48</f>
        <v>0.727272727272727</v>
      </c>
      <c r="D46" s="10" t="s">
        <v>320</v>
      </c>
      <c r="E46" s="9"/>
    </row>
    <row r="47" customFormat="false" ht="15" hidden="false" customHeight="false" outlineLevel="0" collapsed="false">
      <c r="A47" s="11" t="s">
        <v>103</v>
      </c>
      <c r="B47" s="12" t="n">
        <v>6</v>
      </c>
      <c r="C47" s="17" t="n">
        <f aca="false">B47/$B$48</f>
        <v>0.272727272727273</v>
      </c>
      <c r="D47" s="12"/>
      <c r="E47" s="12"/>
    </row>
    <row r="48" customFormat="false" ht="15" hidden="false" customHeight="false" outlineLevel="0" collapsed="false">
      <c r="A48" s="8" t="s">
        <v>250</v>
      </c>
      <c r="B48" s="9" t="n">
        <f aca="false">SUM(B46:B47)</f>
        <v>22</v>
      </c>
      <c r="C48" s="16" t="n">
        <f aca="false">SUM(C46:C47)</f>
        <v>1</v>
      </c>
      <c r="D48" s="10" t="s">
        <v>321</v>
      </c>
      <c r="E48" s="9"/>
    </row>
  </sheetData>
  <mergeCells count="7">
    <mergeCell ref="A1:E1"/>
    <mergeCell ref="A3:E3"/>
    <mergeCell ref="A12:E12"/>
    <mergeCell ref="A20:E20"/>
    <mergeCell ref="A29:E29"/>
    <mergeCell ref="A37:E37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27.75" hidden="false" customHeight="true" outlineLevel="0" collapsed="false">
      <c r="A1" s="1" t="s">
        <v>322</v>
      </c>
      <c r="B1" s="1"/>
      <c r="C1" s="1"/>
      <c r="D1" s="1"/>
    </row>
    <row r="3" customFormat="false" ht="15" hidden="false" customHeight="false" outlineLevel="0" collapsed="false">
      <c r="A3" s="7" t="s">
        <v>323</v>
      </c>
      <c r="B3" s="7" t="s">
        <v>239</v>
      </c>
      <c r="C3" s="7" t="s">
        <v>260</v>
      </c>
      <c r="D3" s="7" t="s">
        <v>251</v>
      </c>
    </row>
    <row r="4" customFormat="false" ht="15" hidden="false" customHeight="false" outlineLevel="0" collapsed="false">
      <c r="A4" s="8" t="s">
        <v>324</v>
      </c>
      <c r="B4" s="9" t="n">
        <v>21</v>
      </c>
      <c r="C4" s="16" t="n">
        <f aca="false">B4/22</f>
        <v>0.954545454545455</v>
      </c>
      <c r="D4" s="10" t="s">
        <v>325</v>
      </c>
    </row>
    <row r="5" customFormat="false" ht="15" hidden="false" customHeight="false" outlineLevel="0" collapsed="false">
      <c r="A5" s="11" t="s">
        <v>235</v>
      </c>
      <c r="B5" s="12" t="n">
        <v>20</v>
      </c>
      <c r="C5" s="17" t="n">
        <f aca="false">B5/22</f>
        <v>0.909090909090909</v>
      </c>
      <c r="D5" s="13" t="s">
        <v>326</v>
      </c>
    </row>
    <row r="6" customFormat="false" ht="15" hidden="false" customHeight="false" outlineLevel="0" collapsed="false">
      <c r="A6" s="14" t="s">
        <v>327</v>
      </c>
      <c r="B6" s="9" t="n">
        <v>18</v>
      </c>
      <c r="C6" s="16" t="n">
        <f aca="false">B6/22</f>
        <v>0.818181818181818</v>
      </c>
      <c r="D6" s="9" t="s">
        <v>328</v>
      </c>
    </row>
    <row r="7" customFormat="false" ht="15" hidden="false" customHeight="false" outlineLevel="0" collapsed="false">
      <c r="A7" s="11" t="s">
        <v>329</v>
      </c>
      <c r="B7" s="12" t="n">
        <v>3</v>
      </c>
      <c r="C7" s="17" t="n">
        <f aca="false">B7/22</f>
        <v>0.136363636363636</v>
      </c>
      <c r="D7" s="12" t="s">
        <v>330</v>
      </c>
    </row>
    <row r="8" customFormat="false" ht="15" hidden="false" customHeight="false" outlineLevel="0" collapsed="false">
      <c r="A8" s="8" t="s">
        <v>331</v>
      </c>
      <c r="B8" s="9" t="n">
        <v>2</v>
      </c>
      <c r="C8" s="16" t="n">
        <f aca="false">B8/22</f>
        <v>0.0909090909090909</v>
      </c>
      <c r="D8" s="9" t="s">
        <v>332</v>
      </c>
    </row>
    <row r="9" customFormat="false" ht="15" hidden="false" customHeight="false" outlineLevel="0" collapsed="false">
      <c r="A9" s="11" t="s">
        <v>333</v>
      </c>
      <c r="B9" s="12" t="n">
        <v>2</v>
      </c>
      <c r="C9" s="17" t="n">
        <f aca="false">B9/22</f>
        <v>0.0909090909090909</v>
      </c>
      <c r="D9" s="13" t="s">
        <v>334</v>
      </c>
    </row>
    <row r="10" customFormat="false" ht="15" hidden="false" customHeight="false" outlineLevel="0" collapsed="false">
      <c r="A10" s="8" t="s">
        <v>335</v>
      </c>
      <c r="B10" s="9" t="n">
        <v>1</v>
      </c>
      <c r="C10" s="16" t="n">
        <f aca="false">B10/22</f>
        <v>0.0454545454545455</v>
      </c>
      <c r="D10" s="10" t="s">
        <v>336</v>
      </c>
    </row>
    <row r="11" customFormat="false" ht="15" hidden="false" customHeight="false" outlineLevel="0" collapsed="false">
      <c r="A11" s="11" t="s">
        <v>337</v>
      </c>
      <c r="B11" s="12" t="n">
        <v>1</v>
      </c>
      <c r="C11" s="17" t="n">
        <f aca="false">B11/22</f>
        <v>0.0454545454545455</v>
      </c>
      <c r="D11" s="12" t="s">
        <v>338</v>
      </c>
    </row>
    <row r="12" customFormat="false" ht="15" hidden="false" customHeight="false" outlineLevel="0" collapsed="false">
      <c r="A12" s="8" t="s">
        <v>339</v>
      </c>
      <c r="B12" s="9" t="n">
        <v>1</v>
      </c>
      <c r="C12" s="16" t="n">
        <f aca="false">B12/22</f>
        <v>0.0454545454545455</v>
      </c>
      <c r="D12" s="10" t="s">
        <v>340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6"/>
  </cols>
  <sheetData>
    <row r="1" customFormat="false" ht="27.75" hidden="false" customHeight="true" outlineLevel="0" collapsed="false">
      <c r="A1" s="1" t="s">
        <v>341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4" t="s">
        <v>342</v>
      </c>
      <c r="B3" s="4"/>
      <c r="C3" s="4"/>
      <c r="D3" s="4"/>
      <c r="E3" s="4"/>
      <c r="F3" s="4"/>
    </row>
    <row r="4" customFormat="false" ht="15" hidden="false" customHeight="false" outlineLevel="0" collapsed="false">
      <c r="A4" s="7" t="s">
        <v>343</v>
      </c>
      <c r="B4" s="7" t="s">
        <v>344</v>
      </c>
      <c r="C4" s="7" t="s">
        <v>345</v>
      </c>
      <c r="D4" s="7" t="s">
        <v>346</v>
      </c>
      <c r="E4" s="7" t="s">
        <v>347</v>
      </c>
      <c r="F4" s="7" t="s">
        <v>348</v>
      </c>
    </row>
    <row r="5" customFormat="false" ht="15" hidden="false" customHeight="false" outlineLevel="0" collapsed="false">
      <c r="A5" s="14" t="s">
        <v>349</v>
      </c>
      <c r="B5" s="9" t="n">
        <v>1</v>
      </c>
      <c r="C5" s="9" t="n">
        <v>4</v>
      </c>
      <c r="D5" s="9" t="n">
        <v>6</v>
      </c>
      <c r="E5" s="9" t="n">
        <v>0</v>
      </c>
      <c r="F5" s="9" t="n">
        <f aca="false">SUM(B5:E5)</f>
        <v>11</v>
      </c>
    </row>
    <row r="6" customFormat="false" ht="15" hidden="false" customHeight="false" outlineLevel="0" collapsed="false">
      <c r="A6" s="15" t="s">
        <v>350</v>
      </c>
      <c r="B6" s="12" t="n">
        <v>1</v>
      </c>
      <c r="C6" s="12" t="n">
        <v>3</v>
      </c>
      <c r="D6" s="12" t="n">
        <v>0</v>
      </c>
      <c r="E6" s="12" t="n">
        <v>0</v>
      </c>
      <c r="F6" s="12" t="n">
        <f aca="false">SUM(B6:E6)</f>
        <v>4</v>
      </c>
    </row>
    <row r="7" customFormat="false" ht="15" hidden="false" customHeight="false" outlineLevel="0" collapsed="false">
      <c r="A7" s="14" t="s">
        <v>246</v>
      </c>
      <c r="B7" s="9" t="n">
        <v>2</v>
      </c>
      <c r="C7" s="9" t="n">
        <v>1</v>
      </c>
      <c r="D7" s="9" t="n">
        <v>0</v>
      </c>
      <c r="E7" s="9" t="n">
        <v>1</v>
      </c>
      <c r="F7" s="9" t="n">
        <f aca="false">SUM(B7:E7)</f>
        <v>4</v>
      </c>
    </row>
    <row r="8" customFormat="false" ht="15" hidden="false" customHeight="false" outlineLevel="0" collapsed="false">
      <c r="A8" s="11" t="s">
        <v>351</v>
      </c>
      <c r="B8" s="12" t="n">
        <v>1</v>
      </c>
      <c r="C8" s="12" t="n">
        <v>1</v>
      </c>
      <c r="D8" s="12" t="n">
        <v>1</v>
      </c>
      <c r="E8" s="12" t="n">
        <v>0</v>
      </c>
      <c r="F8" s="12" t="n">
        <f aca="false">SUM(B8:E8)</f>
        <v>3</v>
      </c>
    </row>
    <row r="9" customFormat="false" ht="15" hidden="false" customHeight="false" outlineLevel="0" collapsed="false">
      <c r="A9" s="8" t="s">
        <v>250</v>
      </c>
      <c r="B9" s="9" t="n">
        <f aca="false">SUM(B5:B8)</f>
        <v>5</v>
      </c>
      <c r="C9" s="9" t="n">
        <f aca="false">SUM(C5:C8)</f>
        <v>9</v>
      </c>
      <c r="D9" s="9" t="n">
        <f aca="false">SUM(D5:D8)</f>
        <v>7</v>
      </c>
      <c r="E9" s="9" t="n">
        <f aca="false">SUM(E5:E8)</f>
        <v>1</v>
      </c>
      <c r="F9" s="9" t="n">
        <f aca="false">SUM(F5:F8)</f>
        <v>22</v>
      </c>
    </row>
    <row r="10" customFormat="false" ht="15" hidden="false" customHeight="true" outlineLevel="0" collapsed="false">
      <c r="A10" s="18" t="s">
        <v>352</v>
      </c>
      <c r="B10" s="18"/>
      <c r="C10" s="18"/>
      <c r="D10" s="18"/>
      <c r="E10" s="18"/>
      <c r="F10" s="18"/>
    </row>
    <row r="12" customFormat="false" ht="21.75" hidden="false" customHeight="true" outlineLevel="0" collapsed="false">
      <c r="A12" s="4" t="s">
        <v>353</v>
      </c>
      <c r="B12" s="4"/>
      <c r="C12" s="4"/>
      <c r="D12" s="4"/>
      <c r="E12" s="4"/>
      <c r="F12" s="4"/>
    </row>
    <row r="13" customFormat="false" ht="26.85" hidden="false" customHeight="false" outlineLevel="0" collapsed="false">
      <c r="A13" s="7" t="s">
        <v>343</v>
      </c>
      <c r="B13" s="7" t="s">
        <v>354</v>
      </c>
      <c r="C13" s="7" t="s">
        <v>84</v>
      </c>
      <c r="D13" s="7" t="s">
        <v>355</v>
      </c>
      <c r="E13" s="7" t="s">
        <v>356</v>
      </c>
      <c r="F13" s="7" t="s">
        <v>348</v>
      </c>
    </row>
    <row r="14" customFormat="false" ht="15" hidden="false" customHeight="false" outlineLevel="0" collapsed="false">
      <c r="A14" s="14" t="s">
        <v>349</v>
      </c>
      <c r="B14" s="9" t="n">
        <v>1</v>
      </c>
      <c r="C14" s="9" t="n">
        <v>5</v>
      </c>
      <c r="D14" s="9" t="n">
        <v>2</v>
      </c>
      <c r="E14" s="9" t="n">
        <v>3</v>
      </c>
      <c r="F14" s="9" t="n">
        <f aca="false">SUM(B14:E14)</f>
        <v>11</v>
      </c>
    </row>
    <row r="15" customFormat="false" ht="15" hidden="false" customHeight="false" outlineLevel="0" collapsed="false">
      <c r="A15" s="15" t="s">
        <v>350</v>
      </c>
      <c r="B15" s="12" t="n">
        <v>0</v>
      </c>
      <c r="C15" s="12" t="n">
        <v>1</v>
      </c>
      <c r="D15" s="12" t="n">
        <v>2</v>
      </c>
      <c r="E15" s="12" t="n">
        <v>0</v>
      </c>
      <c r="F15" s="12" t="n">
        <f aca="false">SUM(B15:E15)</f>
        <v>3</v>
      </c>
    </row>
    <row r="16" customFormat="false" ht="15" hidden="false" customHeight="false" outlineLevel="0" collapsed="false">
      <c r="A16" s="14" t="s">
        <v>246</v>
      </c>
      <c r="B16" s="9" t="n">
        <v>2</v>
      </c>
      <c r="C16" s="9" t="n">
        <v>2</v>
      </c>
      <c r="D16" s="9" t="n">
        <v>0</v>
      </c>
      <c r="E16" s="9" t="n">
        <v>0</v>
      </c>
      <c r="F16" s="9" t="n">
        <f aca="false">SUM(B16:E16)</f>
        <v>4</v>
      </c>
    </row>
    <row r="17" customFormat="false" ht="15" hidden="false" customHeight="false" outlineLevel="0" collapsed="false">
      <c r="A17" s="11" t="s">
        <v>351</v>
      </c>
      <c r="B17" s="12" t="n">
        <v>1</v>
      </c>
      <c r="C17" s="12" t="n">
        <v>2</v>
      </c>
      <c r="D17" s="12" t="n">
        <v>1</v>
      </c>
      <c r="E17" s="12" t="n">
        <v>0</v>
      </c>
      <c r="F17" s="12" t="n">
        <f aca="false">SUM(B17:E17)</f>
        <v>4</v>
      </c>
    </row>
    <row r="18" customFormat="false" ht="15" hidden="false" customHeight="false" outlineLevel="0" collapsed="false">
      <c r="A18" s="8" t="s">
        <v>250</v>
      </c>
      <c r="B18" s="9" t="n">
        <f aca="false">SUM(B14:B17)</f>
        <v>4</v>
      </c>
      <c r="C18" s="9" t="n">
        <f aca="false">SUM(C14:C17)</f>
        <v>10</v>
      </c>
      <c r="D18" s="9" t="n">
        <f aca="false">SUM(D14:D17)</f>
        <v>5</v>
      </c>
      <c r="E18" s="9" t="n">
        <f aca="false">SUM(E14:E17)</f>
        <v>3</v>
      </c>
      <c r="F18" s="9" t="n">
        <f aca="false">SUM(F14:F17)</f>
        <v>22</v>
      </c>
    </row>
    <row r="19" customFormat="false" ht="15" hidden="false" customHeight="true" outlineLevel="0" collapsed="false">
      <c r="A19" s="18" t="s">
        <v>357</v>
      </c>
      <c r="B19" s="18"/>
      <c r="C19" s="18"/>
      <c r="D19" s="18"/>
      <c r="E19" s="18"/>
      <c r="F19" s="18"/>
    </row>
    <row r="21" customFormat="false" ht="21.75" hidden="false" customHeight="true" outlineLevel="0" collapsed="false">
      <c r="A21" s="4" t="s">
        <v>358</v>
      </c>
      <c r="B21" s="4"/>
      <c r="C21" s="4"/>
      <c r="D21" s="4"/>
      <c r="E21" s="4"/>
      <c r="F21" s="4"/>
    </row>
    <row r="22" customFormat="false" ht="26.85" hidden="false" customHeight="false" outlineLevel="0" collapsed="false">
      <c r="A22" s="7" t="s">
        <v>359</v>
      </c>
      <c r="B22" s="7" t="s">
        <v>360</v>
      </c>
      <c r="C22" s="7" t="s">
        <v>361</v>
      </c>
      <c r="D22" s="7" t="s">
        <v>348</v>
      </c>
      <c r="E22" s="7" t="s">
        <v>362</v>
      </c>
      <c r="F22" s="7"/>
    </row>
    <row r="23" customFormat="false" ht="15" hidden="false" customHeight="false" outlineLevel="0" collapsed="false">
      <c r="A23" s="8" t="s">
        <v>363</v>
      </c>
      <c r="B23" s="9" t="n">
        <v>6</v>
      </c>
      <c r="C23" s="9" t="n">
        <v>5</v>
      </c>
      <c r="D23" s="9" t="n">
        <f aca="false">SUM(B23:C23)</f>
        <v>11</v>
      </c>
      <c r="E23" s="16" t="n">
        <f aca="false">B23/D23</f>
        <v>0.545454545454545</v>
      </c>
      <c r="F23" s="9"/>
    </row>
    <row r="24" customFormat="false" ht="15" hidden="false" customHeight="false" outlineLevel="0" collapsed="false">
      <c r="A24" s="11" t="s">
        <v>364</v>
      </c>
      <c r="B24" s="12" t="n">
        <v>4</v>
      </c>
      <c r="C24" s="12" t="n">
        <v>7</v>
      </c>
      <c r="D24" s="12" t="n">
        <f aca="false">SUM(B24:C24)</f>
        <v>11</v>
      </c>
      <c r="E24" s="17" t="n">
        <f aca="false">B24/D24</f>
        <v>0.363636363636364</v>
      </c>
      <c r="F24" s="12"/>
    </row>
    <row r="25" customFormat="false" ht="15" hidden="false" customHeight="false" outlineLevel="0" collapsed="false">
      <c r="A25" s="8" t="s">
        <v>250</v>
      </c>
      <c r="B25" s="9" t="n">
        <f aca="false">SUM(B23:B24)</f>
        <v>10</v>
      </c>
      <c r="C25" s="9" t="n">
        <f aca="false">SUM(C23:C24)</f>
        <v>12</v>
      </c>
      <c r="D25" s="9" t="n">
        <f aca="false">SUM(D23:D24)</f>
        <v>22</v>
      </c>
      <c r="E25" s="16" t="n">
        <f aca="false">B25/D25</f>
        <v>0.454545454545455</v>
      </c>
      <c r="F25" s="9"/>
    </row>
    <row r="26" customFormat="false" ht="15" hidden="false" customHeight="true" outlineLevel="0" collapsed="false">
      <c r="A26" s="18" t="s">
        <v>365</v>
      </c>
      <c r="B26" s="18"/>
      <c r="C26" s="18"/>
      <c r="D26" s="18"/>
      <c r="E26" s="18"/>
      <c r="F26" s="18"/>
    </row>
    <row r="28" customFormat="false" ht="21.75" hidden="false" customHeight="true" outlineLevel="0" collapsed="false">
      <c r="A28" s="4" t="s">
        <v>366</v>
      </c>
      <c r="B28" s="4"/>
      <c r="C28" s="4"/>
      <c r="D28" s="4"/>
      <c r="E28" s="4"/>
      <c r="F28" s="4"/>
    </row>
    <row r="29" customFormat="false" ht="15" hidden="false" customHeight="false" outlineLevel="0" collapsed="false">
      <c r="A29" s="7" t="s">
        <v>367</v>
      </c>
      <c r="B29" s="7" t="s">
        <v>368</v>
      </c>
      <c r="C29" s="7" t="s">
        <v>369</v>
      </c>
      <c r="D29" s="7" t="s">
        <v>348</v>
      </c>
      <c r="E29" s="7" t="s">
        <v>370</v>
      </c>
      <c r="F29" s="7"/>
    </row>
    <row r="30" customFormat="false" ht="23.85" hidden="false" customHeight="false" outlineLevel="0" collapsed="false">
      <c r="A30" s="14" t="s">
        <v>371</v>
      </c>
      <c r="B30" s="9" t="n">
        <v>8</v>
      </c>
      <c r="C30" s="9" t="n">
        <v>7</v>
      </c>
      <c r="D30" s="9" t="n">
        <f aca="false">SUM(B30:C30)</f>
        <v>15</v>
      </c>
      <c r="E30" s="16" t="n">
        <f aca="false">C30/D30</f>
        <v>0.466666666666667</v>
      </c>
      <c r="F30" s="9"/>
    </row>
    <row r="31" customFormat="false" ht="23.85" hidden="false" customHeight="false" outlineLevel="0" collapsed="false">
      <c r="A31" s="15" t="s">
        <v>372</v>
      </c>
      <c r="B31" s="12" t="n">
        <v>6</v>
      </c>
      <c r="C31" s="12" t="n">
        <v>1</v>
      </c>
      <c r="D31" s="12" t="n">
        <f aca="false">SUM(B31:C31)</f>
        <v>7</v>
      </c>
      <c r="E31" s="17" t="n">
        <f aca="false">C31/D31</f>
        <v>0.142857142857143</v>
      </c>
      <c r="F31" s="12"/>
    </row>
    <row r="32" customFormat="false" ht="15" hidden="false" customHeight="false" outlineLevel="0" collapsed="false">
      <c r="A32" s="8" t="s">
        <v>250</v>
      </c>
      <c r="B32" s="9" t="n">
        <f aca="false">SUM(B30:B31)</f>
        <v>14</v>
      </c>
      <c r="C32" s="9" t="n">
        <f aca="false">SUM(C30:C31)</f>
        <v>8</v>
      </c>
      <c r="D32" s="9" t="n">
        <f aca="false">SUM(D30:D31)</f>
        <v>22</v>
      </c>
      <c r="E32" s="16" t="n">
        <f aca="false">C32/D32</f>
        <v>0.363636363636364</v>
      </c>
      <c r="F32" s="9"/>
    </row>
    <row r="33" customFormat="false" ht="15" hidden="false" customHeight="true" outlineLevel="0" collapsed="false">
      <c r="A33" s="18" t="s">
        <v>373</v>
      </c>
      <c r="B33" s="18"/>
      <c r="C33" s="18"/>
      <c r="D33" s="18"/>
      <c r="E33" s="18"/>
      <c r="F33" s="18"/>
    </row>
    <row r="35" customFormat="false" ht="21.75" hidden="false" customHeight="true" outlineLevel="0" collapsed="false">
      <c r="A35" s="4" t="s">
        <v>374</v>
      </c>
      <c r="B35" s="4"/>
      <c r="C35" s="4"/>
      <c r="D35" s="4"/>
      <c r="E35" s="4"/>
      <c r="F35" s="4"/>
    </row>
    <row r="36" customFormat="false" ht="26.85" hidden="false" customHeight="false" outlineLevel="0" collapsed="false">
      <c r="A36" s="7" t="s">
        <v>375</v>
      </c>
      <c r="B36" s="7" t="s">
        <v>360</v>
      </c>
      <c r="C36" s="7" t="s">
        <v>361</v>
      </c>
      <c r="D36" s="7" t="s">
        <v>348</v>
      </c>
      <c r="E36" s="7" t="s">
        <v>362</v>
      </c>
      <c r="F36" s="7"/>
    </row>
    <row r="37" customFormat="false" ht="15" hidden="false" customHeight="false" outlineLevel="0" collapsed="false">
      <c r="A37" s="8" t="s">
        <v>87</v>
      </c>
      <c r="B37" s="9" t="n">
        <v>6</v>
      </c>
      <c r="C37" s="9" t="n">
        <v>10</v>
      </c>
      <c r="D37" s="9" t="n">
        <f aca="false">SUM(B37:C37)</f>
        <v>16</v>
      </c>
      <c r="E37" s="16" t="n">
        <f aca="false">B37/D37</f>
        <v>0.375</v>
      </c>
      <c r="F37" s="9"/>
    </row>
    <row r="38" customFormat="false" ht="15" hidden="false" customHeight="false" outlineLevel="0" collapsed="false">
      <c r="A38" s="11" t="s">
        <v>103</v>
      </c>
      <c r="B38" s="12" t="n">
        <v>4</v>
      </c>
      <c r="C38" s="12" t="n">
        <v>2</v>
      </c>
      <c r="D38" s="12" t="n">
        <f aca="false">SUM(B38:C38)</f>
        <v>6</v>
      </c>
      <c r="E38" s="17" t="n">
        <f aca="false">B38/D38</f>
        <v>0.666666666666667</v>
      </c>
      <c r="F38" s="12"/>
    </row>
    <row r="39" customFormat="false" ht="15" hidden="false" customHeight="false" outlineLevel="0" collapsed="false">
      <c r="A39" s="8" t="s">
        <v>250</v>
      </c>
      <c r="B39" s="9" t="n">
        <f aca="false">SUM(B37:B38)</f>
        <v>10</v>
      </c>
      <c r="C39" s="9" t="n">
        <f aca="false">SUM(C37:C38)</f>
        <v>12</v>
      </c>
      <c r="D39" s="9" t="n">
        <f aca="false">SUM(D37:D38)</f>
        <v>22</v>
      </c>
      <c r="E39" s="16" t="n">
        <f aca="false">B39/D39</f>
        <v>0.454545454545455</v>
      </c>
      <c r="F39" s="9"/>
    </row>
    <row r="40" customFormat="false" ht="15" hidden="false" customHeight="true" outlineLevel="0" collapsed="false">
      <c r="A40" s="18" t="s">
        <v>376</v>
      </c>
      <c r="B40" s="18"/>
      <c r="C40" s="18"/>
      <c r="D40" s="18"/>
      <c r="E40" s="18"/>
      <c r="F40" s="18"/>
    </row>
    <row r="42" customFormat="false" ht="21.75" hidden="false" customHeight="true" outlineLevel="0" collapsed="false">
      <c r="A42" s="4" t="s">
        <v>377</v>
      </c>
      <c r="B42" s="4"/>
      <c r="C42" s="4"/>
      <c r="D42" s="4"/>
      <c r="E42" s="4"/>
      <c r="F42" s="4"/>
    </row>
    <row r="43" customFormat="false" ht="26.85" hidden="false" customHeight="false" outlineLevel="0" collapsed="false">
      <c r="A43" s="7" t="s">
        <v>72</v>
      </c>
      <c r="B43" s="7" t="s">
        <v>360</v>
      </c>
      <c r="C43" s="7" t="s">
        <v>361</v>
      </c>
      <c r="D43" s="7" t="s">
        <v>348</v>
      </c>
      <c r="E43" s="7" t="s">
        <v>362</v>
      </c>
      <c r="F43" s="7"/>
    </row>
    <row r="44" customFormat="false" ht="15" hidden="false" customHeight="false" outlineLevel="0" collapsed="false">
      <c r="A44" s="8" t="s">
        <v>104</v>
      </c>
      <c r="B44" s="9" t="n">
        <v>6</v>
      </c>
      <c r="C44" s="9" t="n">
        <v>8</v>
      </c>
      <c r="D44" s="9" t="n">
        <f aca="false">SUM(B44:C44)</f>
        <v>14</v>
      </c>
      <c r="E44" s="16" t="n">
        <f aca="false">B44/D44</f>
        <v>0.428571428571429</v>
      </c>
      <c r="F44" s="9"/>
    </row>
    <row r="45" customFormat="false" ht="15" hidden="false" customHeight="false" outlineLevel="0" collapsed="false">
      <c r="A45" s="11" t="s">
        <v>139</v>
      </c>
      <c r="B45" s="12" t="n">
        <v>2</v>
      </c>
      <c r="C45" s="12" t="n">
        <v>3</v>
      </c>
      <c r="D45" s="12" t="n">
        <f aca="false">SUM(B45:C45)</f>
        <v>5</v>
      </c>
      <c r="E45" s="17" t="n">
        <f aca="false">B45/D45</f>
        <v>0.4</v>
      </c>
      <c r="F45" s="12"/>
    </row>
    <row r="46" customFormat="false" ht="15" hidden="false" customHeight="false" outlineLevel="0" collapsed="false">
      <c r="A46" s="8" t="s">
        <v>178</v>
      </c>
      <c r="B46" s="9" t="n">
        <v>0</v>
      </c>
      <c r="C46" s="9" t="n">
        <v>1</v>
      </c>
      <c r="D46" s="9" t="n">
        <f aca="false">SUM(B46:C46)</f>
        <v>1</v>
      </c>
      <c r="E46" s="16" t="n">
        <f aca="false">B46/D46</f>
        <v>0</v>
      </c>
      <c r="F46" s="9"/>
    </row>
    <row r="47" customFormat="false" ht="15" hidden="false" customHeight="false" outlineLevel="0" collapsed="false">
      <c r="A47" s="11" t="s">
        <v>252</v>
      </c>
      <c r="B47" s="12" t="n">
        <v>2</v>
      </c>
      <c r="C47" s="12" t="n">
        <v>0</v>
      </c>
      <c r="D47" s="12" t="n">
        <f aca="false">SUM(B47:C47)</f>
        <v>2</v>
      </c>
      <c r="E47" s="17" t="n">
        <f aca="false">B47/D47</f>
        <v>1</v>
      </c>
      <c r="F47" s="12"/>
    </row>
    <row r="48" customFormat="false" ht="15" hidden="false" customHeight="false" outlineLevel="0" collapsed="false">
      <c r="A48" s="8" t="s">
        <v>250</v>
      </c>
      <c r="B48" s="9" t="n">
        <f aca="false">SUM(B44:B47)</f>
        <v>10</v>
      </c>
      <c r="C48" s="9" t="n">
        <f aca="false">SUM(C44:C47)</f>
        <v>12</v>
      </c>
      <c r="D48" s="9" t="n">
        <f aca="false">SUM(D44:D47)</f>
        <v>22</v>
      </c>
      <c r="E48" s="16" t="n">
        <f aca="false">B48/D48</f>
        <v>0.454545454545455</v>
      </c>
      <c r="F48" s="9"/>
    </row>
    <row r="49" customFormat="false" ht="15" hidden="false" customHeight="true" outlineLevel="0" collapsed="false">
      <c r="A49" s="18" t="s">
        <v>378</v>
      </c>
      <c r="B49" s="18"/>
      <c r="C49" s="18"/>
      <c r="D49" s="18"/>
      <c r="E49" s="18"/>
      <c r="F49" s="18"/>
    </row>
  </sheetData>
  <mergeCells count="13">
    <mergeCell ref="A1:F1"/>
    <mergeCell ref="A3:F3"/>
    <mergeCell ref="A10:F10"/>
    <mergeCell ref="A12:F12"/>
    <mergeCell ref="A19:F19"/>
    <mergeCell ref="A21:F21"/>
    <mergeCell ref="A26:F26"/>
    <mergeCell ref="A28:F28"/>
    <mergeCell ref="A33:F33"/>
    <mergeCell ref="A35:F35"/>
    <mergeCell ref="A40:F40"/>
    <mergeCell ref="A42:F42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58"/>
    <col collapsed="false" customWidth="true" hidden="false" outlineLevel="0" max="3" min="3" style="0" width="60"/>
  </cols>
  <sheetData>
    <row r="1" customFormat="false" ht="27.75" hidden="false" customHeight="true" outlineLevel="0" collapsed="false">
      <c r="A1" s="1" t="s">
        <v>379</v>
      </c>
      <c r="B1" s="1"/>
      <c r="C1" s="1"/>
    </row>
    <row r="3" customFormat="false" ht="15" hidden="false" customHeight="false" outlineLevel="0" collapsed="false">
      <c r="A3" s="7" t="s">
        <v>380</v>
      </c>
      <c r="B3" s="7" t="s">
        <v>381</v>
      </c>
      <c r="C3" s="7" t="s">
        <v>382</v>
      </c>
    </row>
    <row r="4" customFormat="false" ht="79.5" hidden="false" customHeight="true" outlineLevel="0" collapsed="false">
      <c r="A4" s="14" t="s">
        <v>383</v>
      </c>
      <c r="B4" s="10" t="s">
        <v>384</v>
      </c>
      <c r="C4" s="10" t="s">
        <v>385</v>
      </c>
    </row>
    <row r="5" customFormat="false" ht="79.5" hidden="false" customHeight="true" outlineLevel="0" collapsed="false">
      <c r="A5" s="15" t="s">
        <v>386</v>
      </c>
      <c r="B5" s="13" t="s">
        <v>387</v>
      </c>
      <c r="C5" s="13" t="s">
        <v>388</v>
      </c>
    </row>
    <row r="6" customFormat="false" ht="79.5" hidden="false" customHeight="true" outlineLevel="0" collapsed="false">
      <c r="A6" s="14" t="s">
        <v>389</v>
      </c>
      <c r="B6" s="10" t="s">
        <v>390</v>
      </c>
      <c r="C6" s="10" t="s">
        <v>391</v>
      </c>
    </row>
    <row r="7" customFormat="false" ht="79.5" hidden="false" customHeight="true" outlineLevel="0" collapsed="false">
      <c r="A7" s="15" t="s">
        <v>392</v>
      </c>
      <c r="B7" s="13" t="s">
        <v>393</v>
      </c>
      <c r="C7" s="13" t="s">
        <v>394</v>
      </c>
    </row>
    <row r="8" customFormat="false" ht="79.5" hidden="false" customHeight="true" outlineLevel="0" collapsed="false">
      <c r="A8" s="14" t="s">
        <v>395</v>
      </c>
      <c r="B8" s="10" t="s">
        <v>396</v>
      </c>
      <c r="C8" s="10" t="s">
        <v>397</v>
      </c>
    </row>
    <row r="9" customFormat="false" ht="79.5" hidden="false" customHeight="true" outlineLevel="0" collapsed="false">
      <c r="A9" s="15" t="s">
        <v>398</v>
      </c>
      <c r="B9" s="13" t="s">
        <v>399</v>
      </c>
      <c r="C9" s="13" t="s">
        <v>400</v>
      </c>
    </row>
    <row r="10" customFormat="false" ht="79.5" hidden="false" customHeight="true" outlineLevel="0" collapsed="false">
      <c r="A10" s="14" t="s">
        <v>401</v>
      </c>
      <c r="B10" s="10" t="s">
        <v>402</v>
      </c>
      <c r="C10" s="10" t="s">
        <v>403</v>
      </c>
    </row>
    <row r="11" customFormat="false" ht="79.5" hidden="false" customHeight="true" outlineLevel="0" collapsed="false">
      <c r="A11" s="15" t="s">
        <v>404</v>
      </c>
      <c r="B11" s="13" t="s">
        <v>405</v>
      </c>
      <c r="C11" s="13" t="s">
        <v>406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4" min="3" style="0" width="50"/>
  </cols>
  <sheetData>
    <row r="1" customFormat="false" ht="27.75" hidden="false" customHeight="true" outlineLevel="0" collapsed="false">
      <c r="A1" s="1" t="s">
        <v>407</v>
      </c>
      <c r="B1" s="1"/>
      <c r="C1" s="1"/>
      <c r="D1" s="1"/>
    </row>
    <row r="3" customFormat="false" ht="21.75" hidden="false" customHeight="true" outlineLevel="0" collapsed="false">
      <c r="A3" s="4" t="s">
        <v>408</v>
      </c>
      <c r="B3" s="4"/>
      <c r="C3" s="4"/>
      <c r="D3" s="4"/>
    </row>
    <row r="4" customFormat="false" ht="15" hidden="false" customHeight="false" outlineLevel="0" collapsed="false">
      <c r="A4" s="7" t="s">
        <v>409</v>
      </c>
      <c r="B4" s="7" t="s">
        <v>410</v>
      </c>
      <c r="C4" s="7" t="s">
        <v>381</v>
      </c>
      <c r="D4" s="7" t="s">
        <v>411</v>
      </c>
    </row>
    <row r="5" customFormat="false" ht="79.5" hidden="false" customHeight="true" outlineLevel="0" collapsed="false">
      <c r="A5" s="14" t="s">
        <v>412</v>
      </c>
      <c r="B5" s="9" t="s">
        <v>413</v>
      </c>
      <c r="C5" s="10" t="s">
        <v>414</v>
      </c>
      <c r="D5" s="10" t="s">
        <v>415</v>
      </c>
    </row>
    <row r="6" customFormat="false" ht="79.5" hidden="false" customHeight="true" outlineLevel="0" collapsed="false">
      <c r="A6" s="15" t="s">
        <v>416</v>
      </c>
      <c r="B6" s="12" t="s">
        <v>413</v>
      </c>
      <c r="C6" s="13" t="s">
        <v>417</v>
      </c>
      <c r="D6" s="13" t="s">
        <v>418</v>
      </c>
    </row>
    <row r="7" customFormat="false" ht="79.5" hidden="false" customHeight="true" outlineLevel="0" collapsed="false">
      <c r="A7" s="14" t="s">
        <v>419</v>
      </c>
      <c r="B7" s="10" t="s">
        <v>420</v>
      </c>
      <c r="C7" s="10" t="s">
        <v>421</v>
      </c>
      <c r="D7" s="10" t="s">
        <v>422</v>
      </c>
    </row>
    <row r="8" customFormat="false" ht="79.5" hidden="false" customHeight="true" outlineLevel="0" collapsed="false">
      <c r="A8" s="15" t="s">
        <v>423</v>
      </c>
      <c r="B8" s="12" t="s">
        <v>413</v>
      </c>
      <c r="C8" s="13" t="s">
        <v>424</v>
      </c>
      <c r="D8" s="13" t="s">
        <v>425</v>
      </c>
    </row>
    <row r="9" customFormat="false" ht="79.5" hidden="false" customHeight="true" outlineLevel="0" collapsed="false">
      <c r="A9" s="14" t="s">
        <v>426</v>
      </c>
      <c r="B9" s="10" t="s">
        <v>427</v>
      </c>
      <c r="C9" s="10" t="s">
        <v>428</v>
      </c>
      <c r="D9" s="10" t="s">
        <v>429</v>
      </c>
    </row>
    <row r="10" customFormat="false" ht="79.5" hidden="false" customHeight="true" outlineLevel="0" collapsed="false">
      <c r="A10" s="15" t="s">
        <v>430</v>
      </c>
      <c r="B10" s="12" t="s">
        <v>413</v>
      </c>
      <c r="C10" s="13" t="s">
        <v>431</v>
      </c>
      <c r="D10" s="13" t="s">
        <v>432</v>
      </c>
    </row>
    <row r="12" customFormat="false" ht="21.75" hidden="false" customHeight="true" outlineLevel="0" collapsed="false">
      <c r="A12" s="4" t="s">
        <v>433</v>
      </c>
      <c r="B12" s="4"/>
      <c r="C12" s="4"/>
      <c r="D12" s="4"/>
    </row>
    <row r="13" customFormat="false" ht="39.75" hidden="false" customHeight="true" outlineLevel="0" collapsed="false">
      <c r="A13" s="5" t="s">
        <v>434</v>
      </c>
      <c r="B13" s="6" t="s">
        <v>435</v>
      </c>
      <c r="C13" s="6"/>
      <c r="D13" s="6"/>
    </row>
    <row r="14" customFormat="false" ht="39.75" hidden="false" customHeight="true" outlineLevel="0" collapsed="false">
      <c r="A14" s="5" t="s">
        <v>436</v>
      </c>
      <c r="B14" s="6" t="s">
        <v>437</v>
      </c>
      <c r="C14" s="6"/>
      <c r="D14" s="6"/>
    </row>
    <row r="15" customFormat="false" ht="39.75" hidden="false" customHeight="true" outlineLevel="0" collapsed="false">
      <c r="A15" s="5" t="s">
        <v>438</v>
      </c>
      <c r="B15" s="6" t="s">
        <v>439</v>
      </c>
      <c r="C15" s="6"/>
      <c r="D15" s="6"/>
    </row>
    <row r="16" customFormat="false" ht="39.75" hidden="false" customHeight="true" outlineLevel="0" collapsed="false">
      <c r="A16" s="5" t="s">
        <v>440</v>
      </c>
      <c r="B16" s="6" t="s">
        <v>441</v>
      </c>
      <c r="C16" s="6"/>
      <c r="D16" s="6"/>
    </row>
    <row r="17" customFormat="false" ht="39.75" hidden="false" customHeight="true" outlineLevel="0" collapsed="false">
      <c r="A17" s="5" t="s">
        <v>442</v>
      </c>
      <c r="B17" s="6" t="s">
        <v>443</v>
      </c>
      <c r="C17" s="6"/>
      <c r="D17" s="6"/>
    </row>
    <row r="18" customFormat="false" ht="39.75" hidden="false" customHeight="true" outlineLevel="0" collapsed="false">
      <c r="A18" s="5" t="s">
        <v>444</v>
      </c>
      <c r="B18" s="6" t="s">
        <v>445</v>
      </c>
      <c r="C18" s="6"/>
      <c r="D18" s="6"/>
    </row>
  </sheetData>
  <mergeCells count="9">
    <mergeCell ref="A1:D1"/>
    <mergeCell ref="A3:D3"/>
    <mergeCell ref="A12:D12"/>
    <mergeCell ref="B13:D13"/>
    <mergeCell ref="B14:D14"/>
    <mergeCell ref="B15:D15"/>
    <mergeCell ref="B16:D16"/>
    <mergeCell ref="B17:D17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6" min="6" style="0" width="56"/>
  </cols>
  <sheetData>
    <row r="1" customFormat="false" ht="27.75" hidden="false" customHeight="true" outlineLevel="0" collapsed="false">
      <c r="A1" s="1" t="s">
        <v>446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7" t="s">
        <v>447</v>
      </c>
      <c r="B3" s="7" t="s">
        <v>37</v>
      </c>
      <c r="C3" s="7" t="s">
        <v>40</v>
      </c>
      <c r="D3" s="7" t="s">
        <v>43</v>
      </c>
      <c r="E3" s="7" t="s">
        <v>45</v>
      </c>
      <c r="F3" s="7" t="s">
        <v>448</v>
      </c>
    </row>
    <row r="4" customFormat="false" ht="31.5" hidden="false" customHeight="true" outlineLevel="0" collapsed="false">
      <c r="A4" s="8" t="s">
        <v>449</v>
      </c>
      <c r="B4" s="10" t="s">
        <v>450</v>
      </c>
      <c r="C4" s="10" t="s">
        <v>77</v>
      </c>
      <c r="D4" s="10" t="s">
        <v>90</v>
      </c>
      <c r="E4" s="9" t="s">
        <v>451</v>
      </c>
      <c r="F4" s="10" t="s">
        <v>452</v>
      </c>
    </row>
    <row r="5" customFormat="false" ht="31.5" hidden="false" customHeight="true" outlineLevel="0" collapsed="false">
      <c r="A5" s="11" t="s">
        <v>449</v>
      </c>
      <c r="B5" s="13" t="s">
        <v>453</v>
      </c>
      <c r="C5" s="13" t="s">
        <v>454</v>
      </c>
      <c r="D5" s="13" t="s">
        <v>90</v>
      </c>
      <c r="E5" s="12" t="s">
        <v>451</v>
      </c>
      <c r="F5" s="13" t="s">
        <v>455</v>
      </c>
    </row>
    <row r="6" customFormat="false" ht="31.5" hidden="false" customHeight="true" outlineLevel="0" collapsed="false">
      <c r="A6" s="8" t="s">
        <v>449</v>
      </c>
      <c r="B6" s="10" t="s">
        <v>212</v>
      </c>
      <c r="C6" s="10" t="s">
        <v>456</v>
      </c>
      <c r="D6" s="10" t="s">
        <v>214</v>
      </c>
      <c r="E6" s="9" t="s">
        <v>215</v>
      </c>
      <c r="F6" s="10" t="s">
        <v>457</v>
      </c>
    </row>
    <row r="7" customFormat="false" ht="31.5" hidden="false" customHeight="true" outlineLevel="0" collapsed="false">
      <c r="A7" s="11" t="s">
        <v>449</v>
      </c>
      <c r="B7" s="12" t="s">
        <v>458</v>
      </c>
      <c r="C7" s="13" t="s">
        <v>459</v>
      </c>
      <c r="D7" s="13" t="s">
        <v>194</v>
      </c>
      <c r="E7" s="12" t="s">
        <v>195</v>
      </c>
      <c r="F7" s="13" t="s">
        <v>460</v>
      </c>
    </row>
    <row r="8" customFormat="false" ht="31.5" hidden="false" customHeight="true" outlineLevel="0" collapsed="false">
      <c r="A8" s="8" t="s">
        <v>449</v>
      </c>
      <c r="B8" s="10" t="s">
        <v>461</v>
      </c>
      <c r="C8" s="10" t="s">
        <v>77</v>
      </c>
      <c r="D8" s="10" t="s">
        <v>78</v>
      </c>
      <c r="E8" s="9" t="s">
        <v>79</v>
      </c>
      <c r="F8" s="10" t="s">
        <v>462</v>
      </c>
    </row>
    <row r="9" customFormat="false" ht="31.5" hidden="false" customHeight="true" outlineLevel="0" collapsed="false">
      <c r="A9" s="11" t="s">
        <v>463</v>
      </c>
      <c r="B9" s="13" t="s">
        <v>464</v>
      </c>
      <c r="C9" s="13" t="s">
        <v>465</v>
      </c>
      <c r="D9" s="13" t="s">
        <v>146</v>
      </c>
      <c r="E9" s="12" t="s">
        <v>147</v>
      </c>
      <c r="F9" s="13" t="s">
        <v>466</v>
      </c>
    </row>
    <row r="10" customFormat="false" ht="31.5" hidden="false" customHeight="true" outlineLevel="0" collapsed="false">
      <c r="A10" s="8" t="s">
        <v>463</v>
      </c>
      <c r="B10" s="10" t="s">
        <v>467</v>
      </c>
      <c r="C10" s="10" t="s">
        <v>468</v>
      </c>
      <c r="D10" s="10" t="s">
        <v>127</v>
      </c>
      <c r="E10" s="9" t="s">
        <v>128</v>
      </c>
      <c r="F10" s="10" t="s">
        <v>469</v>
      </c>
    </row>
    <row r="11" customFormat="false" ht="31.5" hidden="false" customHeight="true" outlineLevel="0" collapsed="false">
      <c r="A11" s="11" t="s">
        <v>463</v>
      </c>
      <c r="B11" s="12" t="s">
        <v>106</v>
      </c>
      <c r="C11" s="13" t="s">
        <v>470</v>
      </c>
      <c r="D11" s="13" t="s">
        <v>108</v>
      </c>
      <c r="E11" s="12" t="s">
        <v>451</v>
      </c>
      <c r="F11" s="13" t="s">
        <v>471</v>
      </c>
    </row>
    <row r="12" customFormat="false" ht="31.5" hidden="false" customHeight="true" outlineLevel="0" collapsed="false">
      <c r="A12" s="8" t="s">
        <v>463</v>
      </c>
      <c r="B12" s="9" t="s">
        <v>199</v>
      </c>
      <c r="C12" s="10" t="s">
        <v>472</v>
      </c>
      <c r="D12" s="10" t="s">
        <v>200</v>
      </c>
      <c r="E12" s="9" t="s">
        <v>201</v>
      </c>
      <c r="F12" s="10" t="s">
        <v>473</v>
      </c>
    </row>
    <row r="13" customFormat="false" ht="31.5" hidden="false" customHeight="true" outlineLevel="0" collapsed="false">
      <c r="A13" s="11" t="s">
        <v>463</v>
      </c>
      <c r="B13" s="12" t="s">
        <v>218</v>
      </c>
      <c r="C13" s="12" t="s">
        <v>474</v>
      </c>
      <c r="D13" s="13" t="s">
        <v>220</v>
      </c>
      <c r="E13" s="12" t="s">
        <v>221</v>
      </c>
      <c r="F13" s="13" t="s">
        <v>475</v>
      </c>
    </row>
    <row r="14" customFormat="false" ht="31.5" hidden="false" customHeight="true" outlineLevel="0" collapsed="false">
      <c r="A14" s="8" t="s">
        <v>476</v>
      </c>
      <c r="B14" s="10" t="s">
        <v>477</v>
      </c>
      <c r="C14" s="10" t="s">
        <v>478</v>
      </c>
      <c r="D14" s="10" t="s">
        <v>207</v>
      </c>
      <c r="E14" s="9" t="s">
        <v>208</v>
      </c>
      <c r="F14" s="10" t="s">
        <v>479</v>
      </c>
    </row>
    <row r="15" customFormat="false" ht="31.5" hidden="false" customHeight="true" outlineLevel="0" collapsed="false">
      <c r="A15" s="11" t="s">
        <v>476</v>
      </c>
      <c r="B15" s="13" t="s">
        <v>480</v>
      </c>
      <c r="C15" s="13" t="s">
        <v>481</v>
      </c>
      <c r="D15" s="13" t="s">
        <v>117</v>
      </c>
      <c r="E15" s="12" t="s">
        <v>118</v>
      </c>
      <c r="F15" s="13" t="s">
        <v>482</v>
      </c>
    </row>
    <row r="16" customFormat="false" ht="31.5" hidden="false" customHeight="true" outlineLevel="0" collapsed="false">
      <c r="A16" s="8" t="s">
        <v>476</v>
      </c>
      <c r="B16" s="9" t="s">
        <v>171</v>
      </c>
      <c r="C16" s="9" t="s">
        <v>483</v>
      </c>
      <c r="D16" s="10" t="s">
        <v>173</v>
      </c>
      <c r="E16" s="9" t="s">
        <v>174</v>
      </c>
      <c r="F16" s="10" t="s">
        <v>484</v>
      </c>
    </row>
    <row r="17" customFormat="false" ht="31.5" hidden="false" customHeight="true" outlineLevel="0" collapsed="false">
      <c r="A17" s="11" t="s">
        <v>476</v>
      </c>
      <c r="B17" s="12" t="s">
        <v>485</v>
      </c>
      <c r="C17" s="13" t="s">
        <v>486</v>
      </c>
      <c r="D17" s="13" t="s">
        <v>134</v>
      </c>
      <c r="E17" s="12" t="s">
        <v>135</v>
      </c>
      <c r="F17" s="13" t="s">
        <v>487</v>
      </c>
    </row>
    <row r="18" customFormat="false" ht="31.5" hidden="false" customHeight="true" outlineLevel="0" collapsed="false">
      <c r="A18" s="8" t="s">
        <v>476</v>
      </c>
      <c r="B18" s="9" t="s">
        <v>488</v>
      </c>
      <c r="C18" s="10" t="s">
        <v>489</v>
      </c>
      <c r="D18" s="10" t="s">
        <v>164</v>
      </c>
      <c r="E18" s="9" t="s">
        <v>165</v>
      </c>
      <c r="F18" s="10" t="s">
        <v>490</v>
      </c>
    </row>
    <row r="19" customFormat="false" ht="31.5" hidden="false" customHeight="true" outlineLevel="0" collapsed="false">
      <c r="A19" s="11" t="s">
        <v>476</v>
      </c>
      <c r="B19" s="12" t="s">
        <v>180</v>
      </c>
      <c r="C19" s="13" t="s">
        <v>465</v>
      </c>
      <c r="D19" s="13" t="s">
        <v>181</v>
      </c>
      <c r="E19" s="12" t="s">
        <v>182</v>
      </c>
      <c r="F19" s="13" t="s">
        <v>491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2026-05-20T20:53:50Z</dcterms:created>
  <dc:creator>openpyxl</dc:creator>
  <dc:description/>
  <dc:language>en-US</dc:language>
  <cp:lastModifiedBy/>
  <dcterms:modified xsi:type="dcterms:W3CDTF">2026-05-20T20:54:03Z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